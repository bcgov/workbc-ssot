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ustry Profiles" sheetId="1" state="visible" r:id="rId3"/>
    <sheet name="Regional Profi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<sst xmlns="http://schemas.openxmlformats.org/spreadsheetml/2006/main" count="188" uniqueCount="97">
  <si>
    <t xml:space="preserve">Industry</t>
  </si>
  <si>
    <t xml:space="preserve">LABOUR FORCE SURVEY</t>
  </si>
  <si>
    <t xml:space="preserve">Overview</t>
  </si>
  <si>
    <t xml:space="preserve">Workforce</t>
  </si>
  <si>
    <t xml:space="preserve">Employment</t>
  </si>
  <si>
    <t xml:space="preserve">Earnings</t>
  </si>
  <si>
    <t xml:space="preserve">Location of Work</t>
  </si>
  <si>
    <t xml:space="preserve">Employment by gender (%)</t>
  </si>
  <si>
    <t xml:space="preserve">Provincial average (%)</t>
  </si>
  <si>
    <t xml:space="preserve">% of employment under 25 years of age</t>
  </si>
  <si>
    <t xml:space="preserve">% of employment 55 years and older</t>
  </si>
  <si>
    <t xml:space="preserve">Part-time, % of total employment</t>
  </si>
  <si>
    <t xml:space="preserve">Self-employment, % of total employment</t>
  </si>
  <si>
    <t xml:space="preserve">Temporary jobs, % of total employees</t>
  </si>
  <si>
    <t xml:space="preserve">% of workers in firms less than 20 employees</t>
  </si>
  <si>
    <t xml:space="preserve">Private sector employees, % of total employment</t>
  </si>
  <si>
    <t xml:space="preserve">Unemployment rate (%)</t>
  </si>
  <si>
    <t xml:space="preserve">Men</t>
  </si>
  <si>
    <t xml:space="preserve">Women</t>
  </si>
  <si>
    <t xml:space="preserve">Youth</t>
  </si>
  <si>
    <t xml:space="preserve">Cariboo</t>
  </si>
  <si>
    <t xml:space="preserve">Kootenay</t>
  </si>
  <si>
    <t xml:space="preserve">Mainland/
Southwest</t>
  </si>
  <si>
    <t xml:space="preserve">North Coast &amp; Nechako</t>
  </si>
  <si>
    <t xml:space="preserve">Northeast</t>
  </si>
  <si>
    <t xml:space="preserve">Thompson-Okanagan</t>
  </si>
  <si>
    <t xml:space="preserve">Vancouver Island/
Coast</t>
  </si>
  <si>
    <t xml:space="preserve">% employment of this industry</t>
  </si>
  <si>
    <r>
      <rPr>
        <b val="true"/>
        <sz val="10"/>
        <rFont val="Calibri"/>
        <family val="2"/>
        <charset val="1"/>
      </rPr>
      <t xml:space="preserve">% employment of </t>
    </r>
    <r>
      <rPr>
        <b val="true"/>
        <sz val="10"/>
        <color rgb="FFFF0000"/>
        <rFont val="Calibri"/>
        <family val="2"/>
        <charset val="1"/>
      </rPr>
      <t xml:space="preserve">B.C.</t>
    </r>
    <r>
      <rPr>
        <b val="true"/>
        <sz val="10"/>
        <rFont val="Calibri"/>
        <family val="2"/>
        <charset val="1"/>
      </rPr>
      <t xml:space="preserve"> all industries</t>
    </r>
  </si>
  <si>
    <t xml:space="preserve">Region</t>
  </si>
  <si>
    <t xml:space="preserve">Population Distrbution</t>
  </si>
  <si>
    <t xml:space="preserve">Employment statistics</t>
  </si>
  <si>
    <t xml:space="preserve">Age distribution</t>
  </si>
  <si>
    <t xml:space="preserve">Regional full-time employment</t>
  </si>
  <si>
    <t xml:space="preserve">Unemployment rate</t>
  </si>
  <si>
    <t xml:space="preserve">0-14</t>
  </si>
  <si>
    <t xml:space="preserve">15-24</t>
  </si>
  <si>
    <t xml:space="preserve">25-54</t>
  </si>
  <si>
    <t xml:space="preserve">55-64</t>
  </si>
  <si>
    <t xml:space="preserve">65+</t>
  </si>
  <si>
    <t xml:space="preserve">%</t>
  </si>
  <si>
    <t xml:space="preserve">Number</t>
  </si>
  <si>
    <t xml:space="preserve">Low</t>
  </si>
  <si>
    <t xml:space="preserve">High</t>
  </si>
  <si>
    <t xml:space="preserve">Avg</t>
  </si>
  <si>
    <t xml:space="preserve">This region's industries and sectors</t>
  </si>
  <si>
    <t xml:space="preserve">Share of this region's employment (%) / Share of Industry Employment within a Region (%)</t>
  </si>
  <si>
    <t xml:space="preserve">Accommodation and Food Services</t>
  </si>
  <si>
    <t xml:space="preserve">Agriculture and Fishing</t>
  </si>
  <si>
    <t xml:space="preserve">Business, Building and Other Support Services</t>
  </si>
  <si>
    <t xml:space="preserve">Construction</t>
  </si>
  <si>
    <t xml:space="preserve">Educational Services</t>
  </si>
  <si>
    <t xml:space="preserve">Finance, Insurance and Real Estate</t>
  </si>
  <si>
    <t xml:space="preserve">Forestry and Logging with Support Activities</t>
  </si>
  <si>
    <t xml:space="preserve">Health Care and Social Assistance</t>
  </si>
  <si>
    <t xml:space="preserve">Information, Culture and Recreation</t>
  </si>
  <si>
    <t xml:space="preserve">Manufacturing</t>
  </si>
  <si>
    <t xml:space="preserve">Mining and Oil and Gas Extraction</t>
  </si>
  <si>
    <t xml:space="preserve">Professional, Scientific, and Technical Services</t>
  </si>
  <si>
    <t xml:space="preserve">Public Administration</t>
  </si>
  <si>
    <t xml:space="preserve">Repair, Personal And Non-Profit Services Level</t>
  </si>
  <si>
    <t xml:space="preserve">Retail Trade</t>
  </si>
  <si>
    <t xml:space="preserve">Transportation and Warehousing</t>
  </si>
  <si>
    <t xml:space="preserve">Utilities</t>
  </si>
  <si>
    <t xml:space="preserve">Wholesale Trade</t>
  </si>
  <si>
    <t xml:space="preserve">#</t>
  </si>
  <si>
    <t xml:space="preserve">Goods and Services sectors</t>
  </si>
  <si>
    <t xml:space="preserve">Share of B.C. employment (%) /Regional Share of Industry Employment (%)</t>
  </si>
  <si>
    <t xml:space="preserve">Goods</t>
  </si>
  <si>
    <t xml:space="preserve">Services</t>
  </si>
  <si>
    <t>Total, All Industries</t>
  </si>
  <si>
    <t>Accommodation And Food Services</t>
  </si>
  <si>
    <t>Agriculture And Fishing</t>
  </si>
  <si>
    <t>Business, Building And Other Support Services</t>
  </si>
  <si>
    <t>Construction</t>
  </si>
  <si>
    <t>Educational Services</t>
  </si>
  <si>
    <t>Finance, Insurance And Real Estate</t>
  </si>
  <si>
    <t>Forestry, Logging And Support Activities</t>
  </si>
  <si>
    <t>Health Care And Social Assistance</t>
  </si>
  <si>
    <t>Information, Culture And Recreation</t>
  </si>
  <si>
    <t>Manufacturing</t>
  </si>
  <si>
    <t>Mining And Oil And Gas Extraction</t>
  </si>
  <si>
    <t>Professional, Scientific And Technical Services</t>
  </si>
  <si>
    <t>Public Administration</t>
  </si>
  <si>
    <t>Repair, Personal And Non-Profit Services</t>
  </si>
  <si>
    <t>Retail Trade</t>
  </si>
  <si>
    <t>Transportation And Warehousing</t>
  </si>
  <si>
    <t>Utilities</t>
  </si>
  <si>
    <t>Wholesale Trade</t>
  </si>
  <si>
    <t>British Columbia</t>
  </si>
  <si>
    <t>Cariboo</t>
  </si>
  <si>
    <t>Kootenay</t>
  </si>
  <si>
    <t>Lower Mainland Southwest</t>
  </si>
  <si>
    <t>North Coast And Nechako</t>
  </si>
  <si>
    <t>Northeast</t>
  </si>
  <si>
    <t>Thompson Okanagan</t>
  </si>
  <si>
    <t>Vancouver Island And Coast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</si>
</sst>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-* #,##0.00_-;\-* #,##0.00_-;_-* \-??_-;_-@_-"/>
    <numFmt numFmtId="166" formatCode="0%"/>
    <numFmt numFmtId="167" formatCode="mm/dd/yyyy\ hh:mm:ss"/>
    <numFmt numFmtId="168" formatCode="\+#,###;\-#,###"/>
    <numFmt numFmtId="169" formatCode="_-* #,##0_-;\-* #,##0_-;_-* \-??_-;_-@_-"/>
    <numFmt numFmtId="170" formatCode="0"/>
    <numFmt numFmtId="171" formatCode="_-* #,##0.0_-;\-* #,##0.0_-;_-* \-??_-;_-@_-"/>
    <numFmt numFmtId="172" formatCode="_-\$* #,##0.00_-;&quot;-$&quot;* #,##0.00_-;_-\$* \-??_-;_-@_-"/>
    <numFmt numFmtId="173" formatCode="0.0"/>
    <numFmt numFmtId="174" formatCode="@"/>
    <numFmt numFmtId="175" formatCode="#,##0"/>
    <numFmt numFmtId="176" formatCode="0.0%"/>
  </numFmts>
  <fonts count="2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22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0"/>
      <name val="Calibri"/>
      <family val="2"/>
    </font>
    <font>
      <b val="true"/>
      <sz val="10"/>
      <color rgb="FFFF0000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6"/>
      <color rgb="FF000000"/>
      <name val="Calibri"/>
      <family val="2"/>
      <charset val="1"/>
    </font>
    <font>
      <sz val="16"/>
      <name val="Calibri"/>
      <family val="2"/>
      <charset val="1"/>
    </font>
    <font>
      <sz val="10"/>
      <color rgb="FFFF0000"/>
      <name val="Arial"/>
      <family val="2"/>
      <charset val="1"/>
    </font>
    <font>
      <sz val="10"/>
      <color rgb="FFFF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10"/>
      <color rgb="FF000000"/>
      <name val="Arial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DCE6F2"/>
        <bgColor rgb="FFDBEEF4"/>
      </patternFill>
    </fill>
    <fill>
      <patternFill patternType="solid">
        <fgColor rgb="FFF2DCDB"/>
        <bgColor rgb="FFE6E0EC"/>
      </patternFill>
    </fill>
    <fill>
      <patternFill patternType="solid">
        <fgColor rgb="FFEBF1DE"/>
        <bgColor rgb="FFFDEADA"/>
      </patternFill>
    </fill>
    <fill>
      <patternFill patternType="solid">
        <fgColor rgb="FFE6E0EC"/>
        <bgColor rgb="FFDCE6F2"/>
      </patternFill>
    </fill>
    <fill>
      <patternFill patternType="solid">
        <fgColor rgb="FFDBEEF4"/>
        <bgColor rgb="FFDCE6F2"/>
      </patternFill>
    </fill>
    <fill>
      <patternFill patternType="solid">
        <fgColor rgb="FFFDEADA"/>
        <bgColor rgb="FFEBF1DE"/>
      </patternFill>
    </fill>
    <fill>
      <patternFill patternType="solid">
        <fgColor rgb="FFB9CDE5"/>
        <bgColor rgb="FFB7DEE8"/>
      </patternFill>
    </fill>
    <fill>
      <patternFill patternType="solid">
        <fgColor rgb="FFE6B9B8"/>
        <bgColor rgb="FFCCC1DA"/>
      </patternFill>
    </fill>
    <fill>
      <patternFill patternType="solid">
        <fgColor rgb="FFD7E4BD"/>
        <bgColor rgb="FFD9D9D9"/>
      </patternFill>
    </fill>
    <fill>
      <patternFill patternType="solid">
        <fgColor rgb="FFCCC1DA"/>
        <bgColor rgb="FFC0C0C0"/>
      </patternFill>
    </fill>
    <fill>
      <patternFill patternType="solid">
        <fgColor rgb="FFB7DEE8"/>
        <bgColor rgb="FFB9CDE5"/>
      </patternFill>
    </fill>
    <fill>
      <patternFill patternType="solid">
        <fgColor rgb="FFFCD5B5"/>
        <bgColor rgb="FFF2DCDB"/>
      </patternFill>
    </fill>
    <fill>
      <patternFill patternType="solid">
        <fgColor rgb="FFFFFFCC"/>
        <bgColor rgb="FFEBF1DE"/>
      </patternFill>
    </fill>
    <fill>
      <patternFill patternType="solid">
        <fgColor rgb="FFC0C0C0"/>
        <bgColor rgb="FFCCC1DA"/>
      </patternFill>
    </fill>
    <fill>
      <patternFill patternType="solid">
        <fgColor rgb="FFD9D9D9"/>
        <bgColor rgb="FFE6E0EC"/>
      </patternFill>
    </fill>
    <fill>
      <patternFill patternType="solid">
        <fgColor rgb="FFC3D69B"/>
        <bgColor rgb="FFD7E4BD"/>
      </patternFill>
    </fill>
    <fill>
      <patternFill patternType="solid">
        <fgColor rgb="FF93CDDD"/>
        <bgColor rgb="FFB9CDE5"/>
      </patternFill>
    </fill>
    <fill>
      <patternFill patternType="solid">
        <fgColor rgb="FF376092"/>
        <bgColor rgb="FF333399"/>
      </patternFill>
    </fill>
    <fill>
      <patternFill patternType="solid">
        <fgColor rgb="FFC4BD97"/>
        <bgColor rgb="FFC0C0C0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" applyFont="true" applyBorder="true" applyAlignment="true" applyProtection="false">
      <alignment horizontal="general" vertical="bottom" textRotation="0" wrapText="false" indent="0" shrinkToFit="false"/>
    </xf>
    <xf numFmtId="164" fontId="0" fillId="14" borderId="1" applyFont="true" applyBorder="true" applyAlignment="true" applyProtection="false">
      <alignment horizontal="general" vertical="bottom" textRotation="0" wrapText="false" indent="0" shrinkToFit="false"/>
    </xf>
    <xf numFmtId="164" fontId="0" fillId="14" borderId="1" applyFont="true" applyBorder="true" applyAlignment="true" applyProtection="false">
      <alignment horizontal="general" vertical="bottom" textRotation="0" wrapText="false" indent="0" shrinkToFit="false"/>
    </xf>
    <xf numFmtId="164" fontId="0" fillId="14" borderId="1" applyFont="true" applyBorder="true" applyAlignment="true" applyProtection="false">
      <alignment horizontal="general" vertical="bottom" textRotation="0" wrapText="false" indent="0" shrinkToFit="false"/>
    </xf>
    <xf numFmtId="164" fontId="0" fillId="14" borderId="1" applyFont="true" applyBorder="true" applyAlignment="true" applyProtection="false">
      <alignment horizontal="general" vertical="bottom" textRotation="0" wrapText="false" indent="0" shrinkToFit="false"/>
    </xf>
    <xf numFmtId="164" fontId="0" fillId="14" borderId="1" applyFont="true" applyBorder="true" applyAlignment="true" applyProtection="false">
      <alignment horizontal="general" vertical="bottom" textRotation="0" wrapText="false" indent="0" shrinkToFit="false"/>
    </xf>
    <xf numFmtId="164" fontId="0" fillId="14" borderId="1" applyFont="true" applyBorder="true" applyAlignment="true" applyProtection="false">
      <alignment horizontal="general" vertical="bottom" textRotation="0" wrapText="false" indent="0" shrinkToFit="false"/>
    </xf>
    <xf numFmtId="164" fontId="0" fillId="14" borderId="1" applyFont="true" applyBorder="true" applyAlignment="true" applyProtection="false">
      <alignment horizontal="general" vertical="bottom" textRotation="0" wrapText="false" indent="0" shrinkToFit="false"/>
    </xf>
    <xf numFmtId="164" fontId="0" fillId="14" borderId="1" applyFont="true" applyBorder="true" applyAlignment="true" applyProtection="false">
      <alignment horizontal="general" vertical="bottom" textRotation="0" wrapText="false" indent="0" shrinkToFit="false"/>
    </xf>
    <xf numFmtId="164" fontId="0" fillId="14" borderId="1" applyFont="true" applyBorder="true" applyAlignment="true" applyProtection="false">
      <alignment horizontal="general" vertical="bottom" textRotation="0" wrapText="false" indent="0" shrinkToFit="false"/>
    </xf>
    <xf numFmtId="164" fontId="0" fillId="14" borderId="1" applyFont="true" applyBorder="tru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</cellStyleXfs>
  <cellXfs count="18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16" borderId="2" xfId="14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7" borderId="3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7" borderId="4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5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6" borderId="6" xfId="14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6" borderId="9" xfId="14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10" xfId="14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11" xfId="14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12" xfId="14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8" borderId="10" xfId="14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8" borderId="11" xfId="14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8" borderId="13" xfId="14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10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1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11" xfId="14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6" borderId="10" xfId="14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6" borderId="11" xfId="14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6" borderId="14" xfId="14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19" borderId="15" xfId="14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19" borderId="16" xfId="19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14" fillId="19" borderId="17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14" fillId="19" borderId="1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4" fillId="19" borderId="1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19" borderId="1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9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19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19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9" borderId="1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9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4" fillId="19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4" fillId="19" borderId="18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4" fillId="19" borderId="0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9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16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6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6" fillId="0" borderId="17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9" fontId="6" fillId="0" borderId="13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6" fillId="0" borderId="18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0" fontId="6" fillId="0" borderId="19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0" xfId="186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0" fontId="6" fillId="0" borderId="15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0" fontId="6" fillId="0" borderId="0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19" xfId="186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15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1" fontId="6" fillId="0" borderId="0" xfId="13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2" fontId="6" fillId="0" borderId="18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2" fontId="6" fillId="0" borderId="0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6" fillId="0" borderId="18" xfId="1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18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3" fontId="6" fillId="0" borderId="0" xfId="1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20" xfId="18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6" fillId="0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6" fillId="0" borderId="0" xfId="17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20" xfId="18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7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17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0" fontId="16" fillId="0" borderId="15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6" fillId="0" borderId="19" xfId="18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1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2" fontId="6" fillId="0" borderId="0" xfId="1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21" xfId="16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2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6" fillId="0" borderId="23" xfId="15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9" fontId="6" fillId="0" borderId="24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6" fillId="0" borderId="25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0" fontId="6" fillId="0" borderId="26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2" xfId="186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0" fontId="6" fillId="0" borderId="21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0" fontId="6" fillId="0" borderId="2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26" xfId="186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21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2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1" fontId="6" fillId="0" borderId="2" xfId="13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2" fontId="6" fillId="0" borderId="25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2" fontId="6" fillId="0" borderId="2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6" fillId="0" borderId="25" xfId="1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2" xfId="18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3" fontId="6" fillId="0" borderId="2" xfId="1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9" xfId="18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7" fillId="0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199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14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8" fillId="0" borderId="0" xfId="14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149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142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5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0" fillId="0" borderId="0" xfId="14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14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5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5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6" fontId="8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1" fillId="1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7" borderId="11" xfId="14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2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19" borderId="17" xfId="14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1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3" fontId="2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0" xfId="199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6" fontId="22" fillId="0" borderId="0" xfId="18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7" xfId="14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22" fillId="0" borderId="15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22" fillId="0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22" fillId="0" borderId="19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22" fillId="0" borderId="15" xfId="1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9" fontId="22" fillId="0" borderId="19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22" fillId="0" borderId="0" xfId="199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3" fontId="22" fillId="0" borderId="19" xfId="19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3" xfId="14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22" fillId="0" borderId="21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22" fillId="0" borderId="2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22" fillId="0" borderId="2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22" fillId="0" borderId="21" xfId="1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9" fontId="22" fillId="0" borderId="26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22" fillId="0" borderId="2" xfId="199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5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3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1" fillId="8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1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14" fillId="19" borderId="17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3" fontId="22" fillId="0" borderId="17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3" fontId="4" fillId="0" borderId="17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22" fillId="0" borderId="23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3" fontId="4" fillId="0" borderId="23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19" borderId="29" xfId="14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6" fontId="14" fillId="20" borderId="15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14" fillId="2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14" fillId="20" borderId="17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14" fillId="19" borderId="17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0" fontId="14" fillId="19" borderId="19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3" fontId="22" fillId="0" borderId="15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3" fontId="22" fillId="0" borderId="0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0" fontId="22" fillId="0" borderId="17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0" fontId="22" fillId="0" borderId="19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3" fontId="22" fillId="0" borderId="21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3" fontId="22" fillId="0" borderId="2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0" fontId="22" fillId="0" borderId="23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70" fontId="22" fillId="0" borderId="26" xfId="19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200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  <xf numFmtId="164" fontId="6" fillId="0" borderId="0" xfId="199">
      <alignment horizontal="general" vertical="bottom" textRotation="0" wrapText="true" indent="0" shrinkToFit="false"/>
    </xf>
  </cellXfs>
  <cellStyles count="18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1 2 2" xfId="21"/>
    <cellStyle name="20% - Accent1 2 3" xfId="22"/>
    <cellStyle name="20% - Accent1 3" xfId="23"/>
    <cellStyle name="20% - Accent1 3 2" xfId="24"/>
    <cellStyle name="20% - Accent1 3 3" xfId="25"/>
    <cellStyle name="20% - Accent1 4" xfId="26"/>
    <cellStyle name="20% - Accent1 5" xfId="27"/>
    <cellStyle name="20% - Accent1 6" xfId="28"/>
    <cellStyle name="20% - Accent2 2" xfId="29"/>
    <cellStyle name="20% - Accent2 2 2" xfId="30"/>
    <cellStyle name="20% - Accent2 2 3" xfId="31"/>
    <cellStyle name="20% - Accent2 3" xfId="32"/>
    <cellStyle name="20% - Accent2 3 2" xfId="33"/>
    <cellStyle name="20% - Accent2 3 3" xfId="34"/>
    <cellStyle name="20% - Accent2 4" xfId="35"/>
    <cellStyle name="20% - Accent2 5" xfId="36"/>
    <cellStyle name="20% - Accent2 6" xfId="37"/>
    <cellStyle name="20% - Accent3 2" xfId="38"/>
    <cellStyle name="20% - Accent3 2 2" xfId="39"/>
    <cellStyle name="20% - Accent3 2 3" xfId="40"/>
    <cellStyle name="20% - Accent3 3" xfId="41"/>
    <cellStyle name="20% - Accent3 3 2" xfId="42"/>
    <cellStyle name="20% - Accent3 3 3" xfId="43"/>
    <cellStyle name="20% - Accent3 4" xfId="44"/>
    <cellStyle name="20% - Accent3 5" xfId="45"/>
    <cellStyle name="20% - Accent3 6" xfId="46"/>
    <cellStyle name="20% - Accent4 2" xfId="47"/>
    <cellStyle name="20% - Accent4 2 2" xfId="48"/>
    <cellStyle name="20% - Accent4 2 3" xfId="49"/>
    <cellStyle name="20% - Accent4 3" xfId="50"/>
    <cellStyle name="20% - Accent4 3 2" xfId="51"/>
    <cellStyle name="20% - Accent4 3 3" xfId="52"/>
    <cellStyle name="20% - Accent4 4" xfId="53"/>
    <cellStyle name="20% - Accent4 5" xfId="54"/>
    <cellStyle name="20% - Accent4 6" xfId="55"/>
    <cellStyle name="20% - Accent5 2" xfId="56"/>
    <cellStyle name="20% - Accent5 2 2" xfId="57"/>
    <cellStyle name="20% - Accent5 2 3" xfId="58"/>
    <cellStyle name="20% - Accent5 3" xfId="59"/>
    <cellStyle name="20% - Accent5 3 2" xfId="60"/>
    <cellStyle name="20% - Accent5 3 3" xfId="61"/>
    <cellStyle name="20% - Accent5 4" xfId="62"/>
    <cellStyle name="20% - Accent5 5" xfId="63"/>
    <cellStyle name="20% - Accent5 6" xfId="64"/>
    <cellStyle name="20% - Accent6 2" xfId="65"/>
    <cellStyle name="20% - Accent6 2 2" xfId="66"/>
    <cellStyle name="20% - Accent6 2 3" xfId="67"/>
    <cellStyle name="20% - Accent6 3" xfId="68"/>
    <cellStyle name="20% - Accent6 3 2" xfId="69"/>
    <cellStyle name="20% - Accent6 3 3" xfId="70"/>
    <cellStyle name="20% - Accent6 4" xfId="71"/>
    <cellStyle name="20% - Accent6 5" xfId="72"/>
    <cellStyle name="20% - Accent6 6" xfId="73"/>
    <cellStyle name="40% - Accent1 2" xfId="74"/>
    <cellStyle name="40% - Accent1 2 2" xfId="75"/>
    <cellStyle name="40% - Accent1 2 3" xfId="76"/>
    <cellStyle name="40% - Accent1 3" xfId="77"/>
    <cellStyle name="40% - Accent1 3 2" xfId="78"/>
    <cellStyle name="40% - Accent1 3 3" xfId="79"/>
    <cellStyle name="40% - Accent1 4" xfId="80"/>
    <cellStyle name="40% - Accent1 5" xfId="81"/>
    <cellStyle name="40% - Accent1 6" xfId="82"/>
    <cellStyle name="40% - Accent2 2" xfId="83"/>
    <cellStyle name="40% - Accent2 2 2" xfId="84"/>
    <cellStyle name="40% - Accent2 2 3" xfId="85"/>
    <cellStyle name="40% - Accent2 3" xfId="86"/>
    <cellStyle name="40% - Accent2 3 2" xfId="87"/>
    <cellStyle name="40% - Accent2 3 3" xfId="88"/>
    <cellStyle name="40% - Accent2 4" xfId="89"/>
    <cellStyle name="40% - Accent2 5" xfId="90"/>
    <cellStyle name="40% - Accent2 6" xfId="91"/>
    <cellStyle name="40% - Accent3 2" xfId="92"/>
    <cellStyle name="40% - Accent3 2 2" xfId="93"/>
    <cellStyle name="40% - Accent3 2 3" xfId="94"/>
    <cellStyle name="40% - Accent3 3" xfId="95"/>
    <cellStyle name="40% - Accent3 3 2" xfId="96"/>
    <cellStyle name="40% - Accent3 3 3" xfId="97"/>
    <cellStyle name="40% - Accent3 4" xfId="98"/>
    <cellStyle name="40% - Accent3 5" xfId="99"/>
    <cellStyle name="40% - Accent3 6" xfId="100"/>
    <cellStyle name="40% - Accent4 2" xfId="101"/>
    <cellStyle name="40% - Accent4 2 2" xfId="102"/>
    <cellStyle name="40% - Accent4 2 3" xfId="103"/>
    <cellStyle name="40% - Accent4 3" xfId="104"/>
    <cellStyle name="40% - Accent4 3 2" xfId="105"/>
    <cellStyle name="40% - Accent4 3 3" xfId="106"/>
    <cellStyle name="40% - Accent4 4" xfId="107"/>
    <cellStyle name="40% - Accent4 5" xfId="108"/>
    <cellStyle name="40% - Accent4 6" xfId="109"/>
    <cellStyle name="40% - Accent5 2" xfId="110"/>
    <cellStyle name="40% - Accent5 2 2" xfId="111"/>
    <cellStyle name="40% - Accent5 2 3" xfId="112"/>
    <cellStyle name="40% - Accent5 3" xfId="113"/>
    <cellStyle name="40% - Accent5 3 2" xfId="114"/>
    <cellStyle name="40% - Accent5 3 3" xfId="115"/>
    <cellStyle name="40% - Accent5 4" xfId="116"/>
    <cellStyle name="40% - Accent5 5" xfId="117"/>
    <cellStyle name="40% - Accent5 6" xfId="118"/>
    <cellStyle name="40% - Accent6 2" xfId="119"/>
    <cellStyle name="40% - Accent6 2 2" xfId="120"/>
    <cellStyle name="40% - Accent6 2 3" xfId="121"/>
    <cellStyle name="40% - Accent6 3" xfId="122"/>
    <cellStyle name="40% - Accent6 3 2" xfId="123"/>
    <cellStyle name="40% - Accent6 3 3" xfId="124"/>
    <cellStyle name="40% - Accent6 4" xfId="125"/>
    <cellStyle name="40% - Accent6 5" xfId="126"/>
    <cellStyle name="40% - Accent6 6" xfId="127"/>
    <cellStyle name="Comma 2" xfId="128"/>
    <cellStyle name="Comma 2 2" xfId="129"/>
    <cellStyle name="Comma 2 3" xfId="130"/>
    <cellStyle name="Comma 3" xfId="131"/>
    <cellStyle name="Comma 4" xfId="132"/>
    <cellStyle name="Hyperlink 2" xfId="133"/>
    <cellStyle name="Normal 10" xfId="134"/>
    <cellStyle name="Normal 10 2" xfId="135"/>
    <cellStyle name="Normal 10 3" xfId="136"/>
    <cellStyle name="Normal 11" xfId="137"/>
    <cellStyle name="Normal 11 2" xfId="138"/>
    <cellStyle name="Normal 11 3" xfId="139"/>
    <cellStyle name="Normal 12" xfId="140"/>
    <cellStyle name="Normal 12 2" xfId="141"/>
    <cellStyle name="Normal 13" xfId="142"/>
    <cellStyle name="Normal 2" xfId="143"/>
    <cellStyle name="Normal 2 2" xfId="144"/>
    <cellStyle name="Normal 2 2 2" xfId="145"/>
    <cellStyle name="Normal 2 2 2 2" xfId="146"/>
    <cellStyle name="Normal 2 2 2 3" xfId="147"/>
    <cellStyle name="Normal 2 2 2 4" xfId="148"/>
    <cellStyle name="Normal 3" xfId="149"/>
    <cellStyle name="Normal 4" xfId="150"/>
    <cellStyle name="Normal 4 2" xfId="151"/>
    <cellStyle name="Normal 5" xfId="152"/>
    <cellStyle name="Normal 5 2" xfId="153"/>
    <cellStyle name="Normal 6" xfId="154"/>
    <cellStyle name="Normal 6 2" xfId="155"/>
    <cellStyle name="Normal 6 2 2" xfId="156"/>
    <cellStyle name="Normal 6 2 3" xfId="157"/>
    <cellStyle name="Normal 6 3" xfId="158"/>
    <cellStyle name="Normal 6 4" xfId="159"/>
    <cellStyle name="Normal 7" xfId="160"/>
    <cellStyle name="Normal 7 2" xfId="161"/>
    <cellStyle name="Normal 7 3" xfId="162"/>
    <cellStyle name="Normal 8" xfId="163"/>
    <cellStyle name="Normal 8 2" xfId="164"/>
    <cellStyle name="Normal 8 3" xfId="165"/>
    <cellStyle name="Normal 9" xfId="166"/>
    <cellStyle name="Normal 9 2" xfId="167"/>
    <cellStyle name="Normal 9 2 2" xfId="168"/>
    <cellStyle name="Normal 9 2 2 2" xfId="169"/>
    <cellStyle name="Normal 9 2 2 3" xfId="170"/>
    <cellStyle name="Normal 9 3" xfId="171"/>
    <cellStyle name="Normal 9 3 2" xfId="172"/>
    <cellStyle name="Normal 9 3 3" xfId="173"/>
    <cellStyle name="Normal 9 4" xfId="174"/>
    <cellStyle name="Note 2" xfId="175"/>
    <cellStyle name="Note 2 2" xfId="176"/>
    <cellStyle name="Note 2 3" xfId="177"/>
    <cellStyle name="Note 3" xfId="178"/>
    <cellStyle name="Note 3 2" xfId="179"/>
    <cellStyle name="Note 3 3" xfId="180"/>
    <cellStyle name="Note 4" xfId="181"/>
    <cellStyle name="Note 4 2" xfId="182"/>
    <cellStyle name="Note 4 3" xfId="183"/>
    <cellStyle name="Note 5" xfId="184"/>
    <cellStyle name="Note 6" xfId="185"/>
    <cellStyle name="Percent 2" xfId="186"/>
    <cellStyle name="Percent 2 2" xfId="187"/>
    <cellStyle name="Percent 3" xfId="188"/>
    <cellStyle name="Percent 4" xfId="189"/>
    <cellStyle name="Percent 4 2" xfId="190"/>
    <cellStyle name="Percent 4 2 2" xfId="191"/>
    <cellStyle name="Percent 4 2 3" xfId="192"/>
    <cellStyle name="Percent 4 3" xfId="193"/>
    <cellStyle name="Percent 4 4" xfId="194"/>
    <cellStyle name="Percent 5" xfId="195"/>
    <cellStyle name="XLConnect.Boolean" xfId="196"/>
    <cellStyle name="XLConnect.DateTime" xfId="197"/>
    <cellStyle name="XLConnect.Header" xfId="198"/>
    <cellStyle name="XLConnect.Numeric" xfId="199"/>
    <cellStyle name="XLConnect.String" xfId="200"/>
  </cellStyles>
  <colors>
    <indexedColors>
      <rgbColor rgb="FF000000"/>
      <rgbColor rgb="FFFFFFFF"/>
      <rgbColor rgb="FFFF0000"/>
      <rgbColor rgb="FF00FF00"/>
      <rgbColor rgb="FF0000FF"/>
      <rgbColor rgb="FFD9D9D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C4BD97"/>
      <rgbColor rgb="FF993366"/>
      <rgbColor rgb="FFFFFFCC"/>
      <rgbColor rgb="FFDBEEF4"/>
      <rgbColor rgb="FF660066"/>
      <rgbColor rgb="FFF2DCDB"/>
      <rgbColor rgb="FF0066CC"/>
      <rgbColor rgb="FFB9CDE5"/>
      <rgbColor rgb="FF000080"/>
      <rgbColor rgb="FFFF00FF"/>
      <rgbColor rgb="FFE6E0EC"/>
      <rgbColor rgb="FF00FFFF"/>
      <rgbColor rgb="FF800080"/>
      <rgbColor rgb="FF800000"/>
      <rgbColor rgb="FF008080"/>
      <rgbColor rgb="FF0000FF"/>
      <rgbColor rgb="FF00CCFF"/>
      <rgbColor rgb="FFDCE6F2"/>
      <rgbColor rgb="FFEBF1DE"/>
      <rgbColor rgb="FFFDEADA"/>
      <rgbColor rgb="FF93CDDD"/>
      <rgbColor rgb="FFE6B9B8"/>
      <rgbColor rgb="FFCCC1DA"/>
      <rgbColor rgb="FFFCD5B5"/>
      <rgbColor rgb="FF3366FF"/>
      <rgbColor rgb="FFB7DEE8"/>
      <rgbColor rgb="FFC3D69B"/>
      <rgbColor rgb="FFD7E4BD"/>
      <rgbColor rgb="FFFF9900"/>
      <rgbColor rgb="FFFF6600"/>
      <rgbColor rgb="FF376092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0" topLeftCell="B1" activePane="topRight" state="frozen"/>
      <selection pane="topLeft" activeCell="A1" activeCellId="0" sqref="A1"/>
      <selection pane="topRight" activeCell="D3" activeCellId="0" sqref="D3"/>
    </sheetView>
  </sheetViews>
  <sheetFormatPr defaultColWidth="9.1015625" defaultRowHeight="12.75" zeroHeight="false" outlineLevelRow="0" outlineLevelCol="0"/>
  <cols>
    <col min="1" max="1" customWidth="true" hidden="false" style="1" width="45.45" collapsed="false" outlineLevel="0"/>
    <col min="2" max="3" customWidth="true" hidden="false" style="1" width="15.36" collapsed="false" outlineLevel="0"/>
    <col min="4" max="4" customWidth="true" hidden="false" style="2" width="15.36" collapsed="false" outlineLevel="0"/>
    <col min="5" max="8" customWidth="true" hidden="false" style="2" width="10.0" collapsed="false" outlineLevel="0"/>
    <col min="9" max="11" customWidth="true" hidden="false" style="2" width="8.09" collapsed="false" outlineLevel="0"/>
    <col min="12" max="14" customWidth="true" hidden="false" style="2" width="7.91" collapsed="false" outlineLevel="0"/>
    <col min="15" max="15" customWidth="true" hidden="false" style="2" width="6.54" collapsed="false" outlineLevel="0"/>
    <col min="16" max="17" customWidth="true" hidden="false" style="2" width="7.36" collapsed="false" outlineLevel="0"/>
    <col min="18" max="19" customWidth="true" hidden="false" style="2" width="6.54" collapsed="false" outlineLevel="0"/>
    <col min="20" max="20" customWidth="true" hidden="false" style="2" width="7.91" collapsed="false" outlineLevel="0"/>
    <col min="21" max="22" customWidth="true" hidden="false" style="2" width="6.54" collapsed="false" outlineLevel="0"/>
    <col min="23" max="23" customWidth="true" hidden="false" style="2" width="8.45" collapsed="false" outlineLevel="0"/>
    <col min="24" max="25" customWidth="true" hidden="false" style="2" width="6.54" collapsed="false" outlineLevel="0"/>
    <col min="26" max="26" customWidth="true" hidden="false" style="2" width="7.82" collapsed="false" outlineLevel="0"/>
    <col min="27" max="29" customWidth="true" hidden="false" style="2" width="6.54" collapsed="false" outlineLevel="0"/>
    <col min="30" max="32" customWidth="true" hidden="false" style="2" width="8.54" collapsed="false" outlineLevel="0"/>
    <col min="33" max="41" customWidth="true" hidden="false" style="2" width="10.09" collapsed="false" outlineLevel="0"/>
    <col min="42" max="49" customWidth="true" hidden="false" style="2" width="14.91" collapsed="false" outlineLevel="0"/>
    <col min="50" max="51" customWidth="true" hidden="false" style="1" width="14.91" collapsed="false" outlineLevel="0"/>
    <col min="52" max="53" customWidth="true" hidden="false" style="1" width="14.45" collapsed="false" outlineLevel="0"/>
    <col min="54" max="55" customWidth="true" hidden="false" style="1" width="14.91" collapsed="false" outlineLevel="0"/>
    <col min="56" max="1024" customWidth="false" hidden="false" style="1" width="9.09" collapsed="false" outlineLevel="0"/>
  </cols>
  <sheetData>
    <row r="1" customFormat="false" ht="28.5" hidden="false" customHeight="true" outlineLevel="0" collapsed="false">
      <c r="A1" s="3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5"/>
    </row>
    <row r="2" customFormat="false" ht="12.75" hidden="false" customHeight="true" outlineLevel="0" collapsed="false">
      <c r="A2" s="3"/>
      <c r="B2" s="6" t="s">
        <v>2</v>
      </c>
      <c r="C2" s="6"/>
      <c r="D2" s="6"/>
      <c r="E2" s="7" t="s">
        <v>3</v>
      </c>
      <c r="F2" s="7"/>
      <c r="G2" s="7"/>
      <c r="H2" s="7"/>
      <c r="I2" s="7"/>
      <c r="J2" s="7"/>
      <c r="K2" s="7"/>
      <c r="L2" s="7"/>
      <c r="M2" s="7"/>
      <c r="N2" s="8"/>
      <c r="O2" s="7" t="s">
        <v>4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9"/>
      <c r="AG2" s="7" t="s">
        <v>5</v>
      </c>
      <c r="AH2" s="7"/>
      <c r="AI2" s="7"/>
      <c r="AJ2" s="7"/>
      <c r="AK2" s="7"/>
      <c r="AL2" s="7"/>
      <c r="AM2" s="7"/>
      <c r="AN2" s="7"/>
      <c r="AO2" s="9"/>
      <c r="AP2" s="10" t="s">
        <v>6</v>
      </c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1"/>
    </row>
    <row r="3" customFormat="false" ht="82.5" hidden="false" customHeight="true" outlineLevel="0" collapsed="false">
      <c r="A3" s="3"/>
      <c r="B3" s="12" t="str">
        <f aca="true">"% yoy employment growth ("&amp;  YEAR(TODAY())-2  &amp; "-" &amp;  YEAR(TODAY())-1 &amp; ")"</f>
        <v>% yoy employment growth (2023-2024)</v>
      </c>
      <c r="C3" s="13" t="str">
        <f aca="true">"yoy change of employment ("&amp;  YEAR(TODAY())-2  &amp; "-" &amp;  YEAR(TODAY())-1 &amp; ")"</f>
        <v>yoy change of employment (2023-2024)</v>
      </c>
      <c r="D3" s="14" t="str">
        <f aca="true">"Total employment " &amp;  YEAR(TODAY())-1</f>
        <v>Total employment 2024</v>
      </c>
      <c r="E3" s="12" t="s">
        <v>7</v>
      </c>
      <c r="F3" s="12"/>
      <c r="G3" s="13" t="s">
        <v>8</v>
      </c>
      <c r="H3" s="13"/>
      <c r="I3" s="13" t="s">
        <v>9</v>
      </c>
      <c r="J3" s="13"/>
      <c r="K3" s="13"/>
      <c r="L3" s="14" t="s">
        <v>10</v>
      </c>
      <c r="M3" s="14"/>
      <c r="N3" s="14"/>
      <c r="O3" s="12" t="s">
        <v>11</v>
      </c>
      <c r="P3" s="12"/>
      <c r="Q3" s="12"/>
      <c r="R3" s="13" t="s">
        <v>12</v>
      </c>
      <c r="S3" s="13"/>
      <c r="T3" s="13"/>
      <c r="U3" s="13" t="s">
        <v>13</v>
      </c>
      <c r="V3" s="13"/>
      <c r="W3" s="13"/>
      <c r="X3" s="13" t="s">
        <v>14</v>
      </c>
      <c r="Y3" s="13"/>
      <c r="Z3" s="13"/>
      <c r="AA3" s="13" t="s">
        <v>15</v>
      </c>
      <c r="AB3" s="13"/>
      <c r="AC3" s="13"/>
      <c r="AD3" s="14" t="s">
        <v>16</v>
      </c>
      <c r="AE3" s="14"/>
      <c r="AF3" s="14"/>
      <c r="AG3" s="12" t="s">
        <v>17</v>
      </c>
      <c r="AH3" s="12"/>
      <c r="AI3" s="12"/>
      <c r="AJ3" s="13" t="s">
        <v>18</v>
      </c>
      <c r="AK3" s="13"/>
      <c r="AL3" s="13"/>
      <c r="AM3" s="14" t="s">
        <v>19</v>
      </c>
      <c r="AN3" s="14"/>
      <c r="AO3" s="14"/>
      <c r="AP3" s="15" t="s">
        <v>20</v>
      </c>
      <c r="AQ3" s="15"/>
      <c r="AR3" s="16" t="s">
        <v>21</v>
      </c>
      <c r="AS3" s="16"/>
      <c r="AT3" s="16" t="s">
        <v>22</v>
      </c>
      <c r="AU3" s="16"/>
      <c r="AV3" s="16" t="s">
        <v>23</v>
      </c>
      <c r="AW3" s="16"/>
      <c r="AX3" s="16" t="s">
        <v>24</v>
      </c>
      <c r="AY3" s="16"/>
      <c r="AZ3" s="16" t="s">
        <v>25</v>
      </c>
      <c r="BA3" s="16"/>
      <c r="BB3" s="17" t="s">
        <v>26</v>
      </c>
      <c r="BC3" s="17"/>
    </row>
    <row r="4" customFormat="false" ht="55.5" hidden="false" customHeight="true" outlineLevel="0" collapsed="false">
      <c r="A4" s="3"/>
      <c r="B4" s="12"/>
      <c r="C4" s="13"/>
      <c r="D4" s="14"/>
      <c r="E4" s="18" t="s">
        <v>17</v>
      </c>
      <c r="F4" s="19" t="s">
        <v>18</v>
      </c>
      <c r="G4" s="18" t="s">
        <v>17</v>
      </c>
      <c r="H4" s="19" t="s">
        <v>18</v>
      </c>
      <c r="I4" s="19" t="n">
        <f aca="true">YEAR(TODAY())-6</f>
        <v>2019</v>
      </c>
      <c r="J4" s="19" t="n">
        <f aca="true">YEAR(TODAY())-1</f>
        <v>2024</v>
      </c>
      <c r="K4" s="20" t="str">
        <f aca="true">"B.C. average ("&amp;  YEAR(TODAY())-1 &amp; ")"</f>
        <v>B.C. average (2024)</v>
      </c>
      <c r="L4" s="19" t="n">
        <f aca="true">YEAR(TODAY())-6</f>
        <v>2019</v>
      </c>
      <c r="M4" s="19" t="n">
        <f aca="true">YEAR(TODAY())-1</f>
        <v>2024</v>
      </c>
      <c r="N4" s="20" t="str">
        <f aca="true">"B.C. average ("&amp;  YEAR(TODAY())-1 &amp; ")"</f>
        <v>B.C. average (2024)</v>
      </c>
      <c r="O4" s="19" t="n">
        <f aca="true">YEAR(TODAY())-6</f>
        <v>2019</v>
      </c>
      <c r="P4" s="19" t="n">
        <f aca="true">YEAR(TODAY())-1</f>
        <v>2024</v>
      </c>
      <c r="Q4" s="20" t="str">
        <f aca="true">"B.C. average ("&amp;  YEAR(TODAY())-1 &amp; ")"</f>
        <v>B.C. average (2024)</v>
      </c>
      <c r="R4" s="19" t="n">
        <f aca="true">YEAR(TODAY())-6</f>
        <v>2019</v>
      </c>
      <c r="S4" s="19" t="n">
        <f aca="true">YEAR(TODAY())-1</f>
        <v>2024</v>
      </c>
      <c r="T4" s="20" t="str">
        <f aca="true">"B.C. average ("&amp;  YEAR(TODAY())-1 &amp; ")"</f>
        <v>B.C. average (2024)</v>
      </c>
      <c r="U4" s="19" t="n">
        <f aca="true">YEAR(TODAY())-6</f>
        <v>2019</v>
      </c>
      <c r="V4" s="19" t="n">
        <f aca="true">YEAR(TODAY())-1</f>
        <v>2024</v>
      </c>
      <c r="W4" s="20" t="str">
        <f aca="true">"B.C. average ("&amp;  YEAR(TODAY())-1 &amp; ")"</f>
        <v>B.C. average (2024)</v>
      </c>
      <c r="X4" s="19" t="n">
        <f aca="true">YEAR(TODAY())-6</f>
        <v>2019</v>
      </c>
      <c r="Y4" s="19" t="n">
        <f aca="true">YEAR(TODAY())-1</f>
        <v>2024</v>
      </c>
      <c r="Z4" s="20" t="str">
        <f aca="true">"B.C. average ("&amp;  YEAR(TODAY())-1 &amp; ")"</f>
        <v>B.C. average (2024)</v>
      </c>
      <c r="AA4" s="19" t="n">
        <f aca="true">YEAR(TODAY())-6</f>
        <v>2019</v>
      </c>
      <c r="AB4" s="19" t="n">
        <f aca="true">YEAR(TODAY())-1</f>
        <v>2024</v>
      </c>
      <c r="AC4" s="20" t="str">
        <f aca="true">"B.C. average ("&amp;  YEAR(TODAY())-1 &amp; ")"</f>
        <v>B.C. average (2024)</v>
      </c>
      <c r="AD4" s="19" t="n">
        <f aca="true">YEAR(TODAY())-6</f>
        <v>2019</v>
      </c>
      <c r="AE4" s="19" t="n">
        <f aca="true">YEAR(TODAY())-1</f>
        <v>2024</v>
      </c>
      <c r="AF4" s="20" t="str">
        <f aca="true">"B.C. average ("&amp;  YEAR(TODAY())-1 &amp; ")"</f>
        <v>B.C. average (2024)</v>
      </c>
      <c r="AG4" s="19" t="n">
        <f aca="true">YEAR(TODAY())-6</f>
        <v>2019</v>
      </c>
      <c r="AH4" s="19" t="n">
        <f aca="true">YEAR(TODAY())-1</f>
        <v>2024</v>
      </c>
      <c r="AI4" s="20" t="str">
        <f aca="true">"B.C. average ("&amp;  YEAR(TODAY())-1 &amp; ")"</f>
        <v>B.C. average (2024)</v>
      </c>
      <c r="AJ4" s="19" t="n">
        <f aca="true">YEAR(TODAY())-6</f>
        <v>2019</v>
      </c>
      <c r="AK4" s="19" t="n">
        <f aca="true">YEAR(TODAY())-1</f>
        <v>2024</v>
      </c>
      <c r="AL4" s="20" t="str">
        <f aca="true">"B.C. average ("&amp;  YEAR(TODAY())-1 &amp; ")"</f>
        <v>B.C. average (2024)</v>
      </c>
      <c r="AM4" s="19" t="n">
        <f aca="true">YEAR(TODAY())-6</f>
        <v>2019</v>
      </c>
      <c r="AN4" s="19" t="n">
        <f aca="true">YEAR(TODAY())-1</f>
        <v>2024</v>
      </c>
      <c r="AO4" s="20" t="str">
        <f aca="true">"B.C. average ("&amp;  YEAR(TODAY())-1 &amp; ")"</f>
        <v>B.C. average (2024)</v>
      </c>
      <c r="AP4" s="21" t="s">
        <v>27</v>
      </c>
      <c r="AQ4" s="22" t="s">
        <v>28</v>
      </c>
      <c r="AR4" s="22" t="s">
        <v>27</v>
      </c>
      <c r="AS4" s="22" t="s">
        <v>28</v>
      </c>
      <c r="AT4" s="22" t="s">
        <v>27</v>
      </c>
      <c r="AU4" s="22" t="s">
        <v>28</v>
      </c>
      <c r="AV4" s="22" t="s">
        <v>27</v>
      </c>
      <c r="AW4" s="22" t="s">
        <v>28</v>
      </c>
      <c r="AX4" s="22" t="s">
        <v>27</v>
      </c>
      <c r="AY4" s="22" t="s">
        <v>28</v>
      </c>
      <c r="AZ4" s="22" t="s">
        <v>27</v>
      </c>
      <c r="BA4" s="22" t="s">
        <v>28</v>
      </c>
      <c r="BB4" s="22" t="s">
        <v>27</v>
      </c>
      <c r="BC4" s="23" t="s">
        <v>28</v>
      </c>
    </row>
    <row r="5" s="39" customFormat="true" ht="22.5" hidden="false" customHeight="true" outlineLevel="0" collapsed="false">
      <c r="A5" s="163" t="s">
        <v>70</v>
      </c>
      <c r="B5" s="182" t="n">
        <v>2.3</v>
      </c>
      <c r="C5" s="201" t="n">
        <v>66084.0</v>
      </c>
      <c r="D5" s="220" t="n">
        <v>2914042.0</v>
      </c>
      <c r="E5" s="239" t="n">
        <v>52.6</v>
      </c>
      <c r="F5" s="258" t="n">
        <v>47.4</v>
      </c>
      <c r="G5" s="277" t="n">
        <v>52.6</v>
      </c>
      <c r="H5" s="296" t="n">
        <v>47.4</v>
      </c>
      <c r="I5" s="315" t="n">
        <v>13.8</v>
      </c>
      <c r="J5" s="334" t="n">
        <v>12.5</v>
      </c>
      <c r="K5" s="353" t="n">
        <v>12.5</v>
      </c>
      <c r="L5" s="372" t="n">
        <v>22.1</v>
      </c>
      <c r="M5" s="391" t="n">
        <v>21.1</v>
      </c>
      <c r="N5" s="410" t="n">
        <v>21.1</v>
      </c>
      <c r="O5" s="429" t="n">
        <v>21.7</v>
      </c>
      <c r="P5" s="448" t="n">
        <v>19.9</v>
      </c>
      <c r="Q5" s="467" t="n">
        <v>19.9</v>
      </c>
      <c r="R5" s="486" t="n">
        <v>17.2</v>
      </c>
      <c r="S5" s="505" t="n">
        <v>15.6</v>
      </c>
      <c r="T5" s="524" t="n">
        <v>15.6</v>
      </c>
      <c r="U5" s="543" t="n">
        <v>10.2</v>
      </c>
      <c r="V5" s="562" t="n">
        <v>8.9</v>
      </c>
      <c r="W5" s="581" t="n">
        <v>8.9</v>
      </c>
      <c r="X5" s="600" t="n">
        <v>37.3</v>
      </c>
      <c r="Y5" s="619" t="n">
        <v>35.1</v>
      </c>
      <c r="Z5" s="638" t="n">
        <v>35.1</v>
      </c>
      <c r="AA5" s="657" t="n">
        <v>65.7</v>
      </c>
      <c r="AB5" s="676" t="n">
        <v>63.9</v>
      </c>
      <c r="AC5" s="695" t="n">
        <v>63.9</v>
      </c>
      <c r="AD5" s="714" t="n">
        <v>4.8</v>
      </c>
      <c r="AE5" s="733" t="n">
        <v>5.6</v>
      </c>
      <c r="AF5" s="752" t="n">
        <v>5.6</v>
      </c>
      <c r="AG5" s="771" t="n">
        <v>31.0</v>
      </c>
      <c r="AH5" s="790" t="n">
        <v>39.0</v>
      </c>
      <c r="AI5" s="809" t="n">
        <v>39.0</v>
      </c>
      <c r="AJ5" s="828" t="n">
        <v>26.0</v>
      </c>
      <c r="AK5" s="847" t="n">
        <v>34.0</v>
      </c>
      <c r="AL5" s="866" t="n">
        <v>34.0</v>
      </c>
      <c r="AM5" s="885" t="n">
        <v>17.8</v>
      </c>
      <c r="AN5" s="904" t="n">
        <v>23.0</v>
      </c>
      <c r="AO5" s="923" t="n">
        <v>23.0</v>
      </c>
      <c r="AP5" s="942" t="n">
        <v>2.9</v>
      </c>
      <c r="AQ5" s="961" t="n">
        <v>2.9</v>
      </c>
      <c r="AR5" s="980" t="n">
        <v>3.0</v>
      </c>
      <c r="AS5" s="999" t="n">
        <v>3.0</v>
      </c>
      <c r="AT5" s="1018" t="n">
        <v>64.9</v>
      </c>
      <c r="AU5" s="1037" t="n">
        <v>64.9</v>
      </c>
      <c r="AV5" s="1056" t="n">
        <v>1.6</v>
      </c>
      <c r="AW5" s="1075" t="n">
        <v>1.6</v>
      </c>
      <c r="AX5" s="1094" t="n">
        <v>1.2</v>
      </c>
      <c r="AY5" s="1113" t="n">
        <v>1.2</v>
      </c>
      <c r="AZ5" s="1132" t="n">
        <v>10.4</v>
      </c>
      <c r="BA5" s="1151" t="n">
        <v>10.4</v>
      </c>
      <c r="BB5" s="1170" t="n">
        <v>16.1</v>
      </c>
      <c r="BC5" s="1189" t="n">
        <v>16.1</v>
      </c>
    </row>
    <row r="6" customFormat="false" ht="15" hidden="false" customHeight="true" outlineLevel="0" collapsed="false">
      <c r="A6" s="164" t="s">
        <v>71</v>
      </c>
      <c r="B6" s="183" t="n">
        <v>-5.4</v>
      </c>
      <c r="C6" s="202" t="n">
        <v>-10708.0</v>
      </c>
      <c r="D6" s="221" t="n">
        <v>186625.0</v>
      </c>
      <c r="E6" s="240" t="n">
        <v>44.3</v>
      </c>
      <c r="F6" s="259" t="n">
        <v>55.7</v>
      </c>
      <c r="G6" s="278" t="n">
        <v>52.6</v>
      </c>
      <c r="H6" s="297" t="n">
        <v>47.4</v>
      </c>
      <c r="I6" s="316" t="n">
        <v>39.5</v>
      </c>
      <c r="J6" s="335" t="n">
        <v>36.4</v>
      </c>
      <c r="K6" s="354" t="n">
        <v>12.5</v>
      </c>
      <c r="L6" s="373" t="n">
        <v>12.9</v>
      </c>
      <c r="M6" s="392" t="n">
        <v>11.3</v>
      </c>
      <c r="N6" s="411" t="n">
        <v>21.1</v>
      </c>
      <c r="O6" s="430" t="n">
        <v>41.3</v>
      </c>
      <c r="P6" s="449" t="n">
        <v>42.8</v>
      </c>
      <c r="Q6" s="468" t="n">
        <v>19.9</v>
      </c>
      <c r="R6" s="487" t="n">
        <v>9.0</v>
      </c>
      <c r="S6" s="506" t="n">
        <v>6.3</v>
      </c>
      <c r="T6" s="525" t="n">
        <v>15.6</v>
      </c>
      <c r="U6" s="544" t="n">
        <v>16.4</v>
      </c>
      <c r="V6" s="563" t="n">
        <v>15.7</v>
      </c>
      <c r="W6" s="582" t="n">
        <v>8.9</v>
      </c>
      <c r="X6" s="601" t="n">
        <v>43.4</v>
      </c>
      <c r="Y6" s="620" t="n">
        <v>45.5</v>
      </c>
      <c r="Z6" s="639" t="n">
        <v>35.1</v>
      </c>
      <c r="AA6" s="658" t="n">
        <v>91.0</v>
      </c>
      <c r="AB6" s="677" t="n">
        <v>93.5</v>
      </c>
      <c r="AC6" s="696" t="n">
        <v>63.9</v>
      </c>
      <c r="AD6" s="715" t="n">
        <v>4.5</v>
      </c>
      <c r="AE6" s="734" t="n">
        <v>4.8</v>
      </c>
      <c r="AF6" s="753" t="n">
        <v>5.6</v>
      </c>
      <c r="AG6" s="772" t="n">
        <v>17.81</v>
      </c>
      <c r="AH6" s="791" t="n">
        <v>22.98</v>
      </c>
      <c r="AI6" s="810" t="n">
        <v>39.0</v>
      </c>
      <c r="AJ6" s="829" t="n">
        <v>16.99</v>
      </c>
      <c r="AK6" s="848" t="n">
        <v>21.83</v>
      </c>
      <c r="AL6" s="867" t="n">
        <v>34.0</v>
      </c>
      <c r="AM6" s="886" t="n">
        <v>14.95</v>
      </c>
      <c r="AN6" s="905" t="n">
        <v>19.24</v>
      </c>
      <c r="AO6" s="924" t="n">
        <v>23.0</v>
      </c>
      <c r="AP6" s="943" t="n">
        <v>2.6</v>
      </c>
      <c r="AQ6" s="962" t="n">
        <v>2.9</v>
      </c>
      <c r="AR6" s="981" t="n">
        <v>3.1</v>
      </c>
      <c r="AS6" s="1000" t="n">
        <v>3.0</v>
      </c>
      <c r="AT6" s="1019" t="n">
        <v>62.4</v>
      </c>
      <c r="AU6" s="1038" t="n">
        <v>64.9</v>
      </c>
      <c r="AV6" s="1057" t="n">
        <v>0.9</v>
      </c>
      <c r="AW6" s="1076" t="n">
        <v>1.6</v>
      </c>
      <c r="AX6" s="1095" t="n">
        <v>1.0</v>
      </c>
      <c r="AY6" s="1114" t="n">
        <v>1.2</v>
      </c>
      <c r="AZ6" s="1133" t="n">
        <v>11.4</v>
      </c>
      <c r="BA6" s="1152" t="n">
        <v>10.4</v>
      </c>
      <c r="BB6" s="1171" t="n">
        <v>18.5</v>
      </c>
      <c r="BC6" s="1190" t="n">
        <v>16.1</v>
      </c>
    </row>
    <row r="7" customFormat="false" ht="15" hidden="false" customHeight="true" outlineLevel="0" collapsed="false">
      <c r="A7" s="165" t="s">
        <v>72</v>
      </c>
      <c r="B7" s="184" t="n">
        <v>-28.2</v>
      </c>
      <c r="C7" s="203" t="n">
        <v>-7250.0</v>
      </c>
      <c r="D7" s="222" t="n">
        <v>18500.0</v>
      </c>
      <c r="E7" s="241" t="n">
        <v>53.5</v>
      </c>
      <c r="F7" s="260" t="n">
        <v>46.5</v>
      </c>
      <c r="G7" s="279" t="n">
        <v>52.6</v>
      </c>
      <c r="H7" s="298" t="n">
        <v>47.4</v>
      </c>
      <c r="I7" s="317" t="n">
        <v>10.3</v>
      </c>
      <c r="J7" s="336" t="n">
        <v>13.7</v>
      </c>
      <c r="K7" s="355" t="n">
        <v>12.5</v>
      </c>
      <c r="L7" s="374" t="n">
        <v>34.4</v>
      </c>
      <c r="M7" s="393" t="n">
        <v>28.2</v>
      </c>
      <c r="N7" s="412" t="n">
        <v>21.1</v>
      </c>
      <c r="O7" s="431" t="n">
        <v>20.9</v>
      </c>
      <c r="P7" s="450" t="n">
        <v>23.8</v>
      </c>
      <c r="Q7" s="469" t="n">
        <v>19.9</v>
      </c>
      <c r="R7" s="488" t="n">
        <v>35.7</v>
      </c>
      <c r="S7" s="507" t="n">
        <v>26.8</v>
      </c>
      <c r="T7" s="526" t="n">
        <v>15.6</v>
      </c>
      <c r="U7" s="545" t="n">
        <v>16.0</v>
      </c>
      <c r="V7" s="564" t="n">
        <v>18.5</v>
      </c>
      <c r="W7" s="583" t="n">
        <v>8.9</v>
      </c>
      <c r="X7" s="602" t="n">
        <v>48.2</v>
      </c>
      <c r="Y7" s="621" t="n">
        <v>56.2</v>
      </c>
      <c r="Z7" s="640" t="n">
        <v>35.1</v>
      </c>
      <c r="AA7" s="659" t="n">
        <v>64.2</v>
      </c>
      <c r="AB7" s="678" t="n">
        <v>73.2</v>
      </c>
      <c r="AC7" s="697" t="n">
        <v>63.9</v>
      </c>
      <c r="AD7" s="716" t="n">
        <v>10.0</v>
      </c>
      <c r="AE7" s="735" t="n">
        <v>12.7</v>
      </c>
      <c r="AF7" s="754" t="n">
        <v>5.6</v>
      </c>
      <c r="AG7" s="773" t="n">
        <v>22.08</v>
      </c>
      <c r="AH7" s="792" t="n">
        <v>31.76</v>
      </c>
      <c r="AI7" s="811" t="n">
        <v>39.0</v>
      </c>
      <c r="AJ7" s="830" t="n">
        <v>20.17</v>
      </c>
      <c r="AK7" s="849" t="n">
        <v>24.81</v>
      </c>
      <c r="AL7" s="868" t="n">
        <v>34.0</v>
      </c>
      <c r="AM7" s="887" t="n">
        <v>15.37</v>
      </c>
      <c r="AN7" s="906" t="n">
        <v>18.76</v>
      </c>
      <c r="AO7" s="925" t="n">
        <v>23.0</v>
      </c>
      <c r="AP7" s="944" t="n">
        <v>3.0</v>
      </c>
      <c r="AQ7" s="963" t="n">
        <v>2.9</v>
      </c>
      <c r="AR7" s="982" t="n">
        <v>3.0</v>
      </c>
      <c r="AS7" s="1001" t="n">
        <v>3.0</v>
      </c>
      <c r="AT7" s="1020" t="n">
        <v>49.8</v>
      </c>
      <c r="AU7" s="1039" t="n">
        <v>64.9</v>
      </c>
      <c r="AV7" s="1058" t="n">
        <v>3.6</v>
      </c>
      <c r="AW7" s="1077" t="n">
        <v>1.6</v>
      </c>
      <c r="AX7" s="1096" t="n">
        <v>0.9</v>
      </c>
      <c r="AY7" s="1115" t="n">
        <v>1.2</v>
      </c>
      <c r="AZ7" s="1134" t="n">
        <v>17.4</v>
      </c>
      <c r="BA7" s="1153" t="n">
        <v>10.4</v>
      </c>
      <c r="BB7" s="1172" t="n">
        <v>22.2</v>
      </c>
      <c r="BC7" s="1191" t="n">
        <v>16.1</v>
      </c>
    </row>
    <row r="8" customFormat="false" ht="15" hidden="false" customHeight="true" outlineLevel="0" collapsed="false">
      <c r="A8" s="166" t="s">
        <v>73</v>
      </c>
      <c r="B8" s="185" t="n">
        <v>3.6</v>
      </c>
      <c r="C8" s="204" t="n">
        <v>3312.0</v>
      </c>
      <c r="D8" s="223" t="n">
        <v>94708.0</v>
      </c>
      <c r="E8" s="242" t="n">
        <v>54.8</v>
      </c>
      <c r="F8" s="261" t="n">
        <v>45.2</v>
      </c>
      <c r="G8" s="280" t="n">
        <v>52.6</v>
      </c>
      <c r="H8" s="299" t="n">
        <v>47.4</v>
      </c>
      <c r="I8" s="318" t="n">
        <v>11.3</v>
      </c>
      <c r="J8" s="337" t="n">
        <v>13.1</v>
      </c>
      <c r="K8" s="356" t="n">
        <v>12.5</v>
      </c>
      <c r="L8" s="375" t="n">
        <v>26.8</v>
      </c>
      <c r="M8" s="394" t="n">
        <v>27.6</v>
      </c>
      <c r="N8" s="413" t="n">
        <v>21.1</v>
      </c>
      <c r="O8" s="432" t="n">
        <v>28.9</v>
      </c>
      <c r="P8" s="451" t="n">
        <v>29.7</v>
      </c>
      <c r="Q8" s="470" t="n">
        <v>19.9</v>
      </c>
      <c r="R8" s="489" t="n">
        <v>27.7</v>
      </c>
      <c r="S8" s="508" t="n">
        <v>28.5</v>
      </c>
      <c r="T8" s="527" t="n">
        <v>15.6</v>
      </c>
      <c r="U8" s="546" t="n">
        <v>10.6</v>
      </c>
      <c r="V8" s="565" t="n">
        <v>10.0</v>
      </c>
      <c r="W8" s="584" t="n">
        <v>8.9</v>
      </c>
      <c r="X8" s="603" t="n">
        <v>59.3</v>
      </c>
      <c r="Y8" s="622" t="n">
        <v>55.5</v>
      </c>
      <c r="Z8" s="641" t="n">
        <v>35.1</v>
      </c>
      <c r="AA8" s="660" t="n">
        <v>71.1</v>
      </c>
      <c r="AB8" s="679" t="n">
        <v>69.6</v>
      </c>
      <c r="AC8" s="698" t="n">
        <v>63.9</v>
      </c>
      <c r="AD8" s="717" t="n">
        <v>3.6</v>
      </c>
      <c r="AE8" s="736" t="n">
        <v>5.0</v>
      </c>
      <c r="AF8" s="755" t="n">
        <v>5.6</v>
      </c>
      <c r="AG8" s="774" t="n">
        <v>22.36</v>
      </c>
      <c r="AH8" s="793" t="n">
        <v>30.23</v>
      </c>
      <c r="AI8" s="812" t="n">
        <v>39.0</v>
      </c>
      <c r="AJ8" s="831" t="n">
        <v>20.41</v>
      </c>
      <c r="AK8" s="850" t="n">
        <v>27.23</v>
      </c>
      <c r="AL8" s="869" t="n">
        <v>34.0</v>
      </c>
      <c r="AM8" s="888" t="n">
        <v>18.21</v>
      </c>
      <c r="AN8" s="907" t="n">
        <v>23.13</v>
      </c>
      <c r="AO8" s="926" t="n">
        <v>23.0</v>
      </c>
      <c r="AP8" s="945" t="n">
        <v>1.7</v>
      </c>
      <c r="AQ8" s="964" t="n">
        <v>2.9</v>
      </c>
      <c r="AR8" s="983" t="n">
        <v>2.9</v>
      </c>
      <c r="AS8" s="1002" t="n">
        <v>3.0</v>
      </c>
      <c r="AT8" s="1021" t="n">
        <v>65.9</v>
      </c>
      <c r="AU8" s="1040" t="n">
        <v>64.9</v>
      </c>
      <c r="AV8" s="1059" t="n">
        <v>1.3</v>
      </c>
      <c r="AW8" s="1078" t="n">
        <v>1.6</v>
      </c>
      <c r="AX8" s="1097" t="n">
        <v>1.0</v>
      </c>
      <c r="AY8" s="1116" t="n">
        <v>1.2</v>
      </c>
      <c r="AZ8" s="1135" t="n">
        <v>10.6</v>
      </c>
      <c r="BA8" s="1154" t="n">
        <v>10.4</v>
      </c>
      <c r="BB8" s="1173" t="n">
        <v>16.6</v>
      </c>
      <c r="BC8" s="1192" t="n">
        <v>16.1</v>
      </c>
    </row>
    <row r="9" customFormat="false" ht="15" hidden="false" customHeight="true" outlineLevel="0" collapsed="false">
      <c r="A9" s="167" t="s">
        <v>74</v>
      </c>
      <c r="B9" s="186" t="n">
        <v>3.9</v>
      </c>
      <c r="C9" s="205" t="n">
        <v>9188.0</v>
      </c>
      <c r="D9" s="224" t="n">
        <v>246750.0</v>
      </c>
      <c r="E9" s="243" t="n">
        <v>87.1</v>
      </c>
      <c r="F9" s="262" t="n">
        <v>12.9</v>
      </c>
      <c r="G9" s="281" t="n">
        <v>52.6</v>
      </c>
      <c r="H9" s="300" t="n">
        <v>47.4</v>
      </c>
      <c r="I9" s="319" t="n">
        <v>12.7</v>
      </c>
      <c r="J9" s="338" t="n">
        <v>12.9</v>
      </c>
      <c r="K9" s="357" t="n">
        <v>12.5</v>
      </c>
      <c r="L9" s="376" t="n">
        <v>18.5</v>
      </c>
      <c r="M9" s="395" t="n">
        <v>19.2</v>
      </c>
      <c r="N9" s="414" t="n">
        <v>21.1</v>
      </c>
      <c r="O9" s="433" t="n">
        <v>9.5</v>
      </c>
      <c r="P9" s="452" t="n">
        <v>7.7</v>
      </c>
      <c r="Q9" s="471" t="n">
        <v>19.9</v>
      </c>
      <c r="R9" s="490" t="n">
        <v>28.9</v>
      </c>
      <c r="S9" s="509" t="n">
        <v>26.5</v>
      </c>
      <c r="T9" s="528" t="n">
        <v>15.6</v>
      </c>
      <c r="U9" s="547" t="n">
        <v>7.5</v>
      </c>
      <c r="V9" s="566" t="n">
        <v>4.9</v>
      </c>
      <c r="W9" s="585" t="n">
        <v>8.9</v>
      </c>
      <c r="X9" s="604" t="n">
        <v>53.8</v>
      </c>
      <c r="Y9" s="623" t="n">
        <v>48.8</v>
      </c>
      <c r="Z9" s="642" t="n">
        <v>35.1</v>
      </c>
      <c r="AA9" s="661" t="n">
        <v>70.3</v>
      </c>
      <c r="AB9" s="680" t="n">
        <v>72.4</v>
      </c>
      <c r="AC9" s="699" t="n">
        <v>63.9</v>
      </c>
      <c r="AD9" s="718" t="n">
        <v>4.0</v>
      </c>
      <c r="AE9" s="737" t="n">
        <v>4.6</v>
      </c>
      <c r="AF9" s="756" t="n">
        <v>5.6</v>
      </c>
      <c r="AG9" s="775" t="n">
        <v>31.09</v>
      </c>
      <c r="AH9" s="794" t="n">
        <v>38.01</v>
      </c>
      <c r="AI9" s="813" t="n">
        <v>39.0</v>
      </c>
      <c r="AJ9" s="832" t="n">
        <v>27.37</v>
      </c>
      <c r="AK9" s="851" t="n">
        <v>34.82</v>
      </c>
      <c r="AL9" s="870" t="n">
        <v>34.0</v>
      </c>
      <c r="AM9" s="889" t="n">
        <v>22.45</v>
      </c>
      <c r="AN9" s="908" t="n">
        <v>25.78</v>
      </c>
      <c r="AO9" s="927" t="n">
        <v>23.0</v>
      </c>
      <c r="AP9" s="946" t="n">
        <v>2.7</v>
      </c>
      <c r="AQ9" s="965" t="n">
        <v>2.9</v>
      </c>
      <c r="AR9" s="984" t="n">
        <v>3.3</v>
      </c>
      <c r="AS9" s="1003" t="n">
        <v>3.0</v>
      </c>
      <c r="AT9" s="1022" t="n">
        <v>61.9</v>
      </c>
      <c r="AU9" s="1041" t="n">
        <v>64.9</v>
      </c>
      <c r="AV9" s="1060" t="n">
        <v>2.0</v>
      </c>
      <c r="AW9" s="1079" t="n">
        <v>1.6</v>
      </c>
      <c r="AX9" s="1098" t="n">
        <v>1.7</v>
      </c>
      <c r="AY9" s="1117" t="n">
        <v>1.2</v>
      </c>
      <c r="AZ9" s="1136" t="n">
        <v>12.6</v>
      </c>
      <c r="BA9" s="1155" t="n">
        <v>10.4</v>
      </c>
      <c r="BB9" s="1174" t="n">
        <v>15.7</v>
      </c>
      <c r="BC9" s="1193" t="n">
        <v>16.1</v>
      </c>
    </row>
    <row r="10" customFormat="false" ht="15" hidden="false" customHeight="true" outlineLevel="0" collapsed="false">
      <c r="A10" s="168" t="s">
        <v>75</v>
      </c>
      <c r="B10" s="187" t="n">
        <v>-0.1</v>
      </c>
      <c r="C10" s="206" t="n">
        <v>-291.0</v>
      </c>
      <c r="D10" s="225" t="n">
        <v>220042.0</v>
      </c>
      <c r="E10" s="244" t="n">
        <v>31.7</v>
      </c>
      <c r="F10" s="263" t="n">
        <v>68.3</v>
      </c>
      <c r="G10" s="282" t="n">
        <v>52.6</v>
      </c>
      <c r="H10" s="301" t="n">
        <v>47.4</v>
      </c>
      <c r="I10" s="320" t="n">
        <v>8.6</v>
      </c>
      <c r="J10" s="339" t="n">
        <v>6.7</v>
      </c>
      <c r="K10" s="358" t="n">
        <v>12.5</v>
      </c>
      <c r="L10" s="377" t="n">
        <v>23.0</v>
      </c>
      <c r="M10" s="396" t="n">
        <v>23.0</v>
      </c>
      <c r="N10" s="415" t="n">
        <v>21.1</v>
      </c>
      <c r="O10" s="434" t="n">
        <v>30.3</v>
      </c>
      <c r="P10" s="453" t="n">
        <v>25.4</v>
      </c>
      <c r="Q10" s="472" t="n">
        <v>19.9</v>
      </c>
      <c r="R10" s="491" t="n">
        <v>12.0</v>
      </c>
      <c r="S10" s="510" t="n">
        <v>8.9</v>
      </c>
      <c r="T10" s="529" t="n">
        <v>15.6</v>
      </c>
      <c r="U10" s="548" t="n">
        <v>18.6</v>
      </c>
      <c r="V10" s="567" t="n">
        <v>18.4</v>
      </c>
      <c r="W10" s="586" t="n">
        <v>8.9</v>
      </c>
      <c r="X10" s="605" t="n">
        <v>18.1</v>
      </c>
      <c r="Y10" s="624" t="n">
        <v>15.2</v>
      </c>
      <c r="Z10" s="643" t="n">
        <v>35.1</v>
      </c>
      <c r="AA10" s="662" t="n">
        <v>13.9</v>
      </c>
      <c r="AB10" s="681" t="n">
        <v>14.2</v>
      </c>
      <c r="AC10" s="700" t="n">
        <v>63.9</v>
      </c>
      <c r="AD10" s="719" t="n">
        <v>3.8</v>
      </c>
      <c r="AE10" s="738" t="n">
        <v>3.2</v>
      </c>
      <c r="AF10" s="757" t="n">
        <v>5.6</v>
      </c>
      <c r="AG10" s="776" t="n">
        <v>36.38</v>
      </c>
      <c r="AH10" s="795" t="n">
        <v>44.11</v>
      </c>
      <c r="AI10" s="814" t="n">
        <v>39.0</v>
      </c>
      <c r="AJ10" s="833" t="n">
        <v>32.17</v>
      </c>
      <c r="AK10" s="852" t="n">
        <v>39.33</v>
      </c>
      <c r="AL10" s="871" t="n">
        <v>34.0</v>
      </c>
      <c r="AM10" s="890" t="n">
        <v>19.63</v>
      </c>
      <c r="AN10" s="909" t="n">
        <v>22.87</v>
      </c>
      <c r="AO10" s="928" t="n">
        <v>23.0</v>
      </c>
      <c r="AP10" s="947" t="n">
        <v>3.4</v>
      </c>
      <c r="AQ10" s="966" t="n">
        <v>2.9</v>
      </c>
      <c r="AR10" s="985" t="n">
        <v>2.6</v>
      </c>
      <c r="AS10" s="1004" t="n">
        <v>3.0</v>
      </c>
      <c r="AT10" s="1023" t="n">
        <v>65.8</v>
      </c>
      <c r="AU10" s="1042" t="n">
        <v>64.9</v>
      </c>
      <c r="AV10" s="1061" t="n">
        <v>1.6</v>
      </c>
      <c r="AW10" s="1080" t="n">
        <v>1.6</v>
      </c>
      <c r="AX10" s="1099" t="n">
        <v>0.9</v>
      </c>
      <c r="AY10" s="1118" t="n">
        <v>1.2</v>
      </c>
      <c r="AZ10" s="1137" t="n">
        <v>9.5</v>
      </c>
      <c r="BA10" s="1156" t="n">
        <v>10.4</v>
      </c>
      <c r="BB10" s="1175" t="n">
        <v>16.1</v>
      </c>
      <c r="BC10" s="1194" t="n">
        <v>16.1</v>
      </c>
    </row>
    <row r="11" customFormat="false" ht="15" hidden="false" customHeight="true" outlineLevel="0" collapsed="false">
      <c r="A11" s="169" t="s">
        <v>76</v>
      </c>
      <c r="B11" s="188" t="n">
        <v>4.6</v>
      </c>
      <c r="C11" s="207" t="n">
        <v>8104.0</v>
      </c>
      <c r="D11" s="226" t="n">
        <v>183979.0</v>
      </c>
      <c r="E11" s="245" t="n">
        <v>48.6</v>
      </c>
      <c r="F11" s="264" t="n">
        <v>51.4</v>
      </c>
      <c r="G11" s="283" t="n">
        <v>52.6</v>
      </c>
      <c r="H11" s="302" t="n">
        <v>47.4</v>
      </c>
      <c r="I11" s="321" t="n">
        <v>5.5</v>
      </c>
      <c r="J11" s="340" t="n">
        <v>6.1</v>
      </c>
      <c r="K11" s="359" t="n">
        <v>12.5</v>
      </c>
      <c r="L11" s="378" t="n">
        <v>25.5</v>
      </c>
      <c r="M11" s="397" t="n">
        <v>22.9</v>
      </c>
      <c r="N11" s="416" t="n">
        <v>21.1</v>
      </c>
      <c r="O11" s="435" t="n">
        <v>16.5</v>
      </c>
      <c r="P11" s="454" t="n">
        <v>15.0</v>
      </c>
      <c r="Q11" s="473" t="n">
        <v>19.9</v>
      </c>
      <c r="R11" s="492" t="n">
        <v>24.9</v>
      </c>
      <c r="S11" s="511" t="n">
        <v>26.7</v>
      </c>
      <c r="T11" s="530" t="n">
        <v>15.6</v>
      </c>
      <c r="U11" s="549" t="n">
        <v>3.8</v>
      </c>
      <c r="V11" s="568" t="n">
        <v>3.4</v>
      </c>
      <c r="W11" s="587" t="n">
        <v>8.9</v>
      </c>
      <c r="X11" s="606" t="n">
        <v>44.4</v>
      </c>
      <c r="Y11" s="625" t="n">
        <v>42.2</v>
      </c>
      <c r="Z11" s="644" t="n">
        <v>35.1</v>
      </c>
      <c r="AA11" s="663" t="n">
        <v>68.7</v>
      </c>
      <c r="AB11" s="682" t="n">
        <v>66.7</v>
      </c>
      <c r="AC11" s="701" t="n">
        <v>63.9</v>
      </c>
      <c r="AD11" s="720" t="n">
        <v>1.8</v>
      </c>
      <c r="AE11" s="739" t="n">
        <v>1.7</v>
      </c>
      <c r="AF11" s="758" t="n">
        <v>5.6</v>
      </c>
      <c r="AG11" s="777" t="n">
        <v>36.13</v>
      </c>
      <c r="AH11" s="796" t="n">
        <v>44.43</v>
      </c>
      <c r="AI11" s="815" t="n">
        <v>39.0</v>
      </c>
      <c r="AJ11" s="834" t="n">
        <v>29.1</v>
      </c>
      <c r="AK11" s="853" t="n">
        <v>37.59</v>
      </c>
      <c r="AL11" s="872" t="n">
        <v>34.0</v>
      </c>
      <c r="AM11" s="891" t="n">
        <v>21.9</v>
      </c>
      <c r="AN11" s="910" t="n">
        <v>26.29</v>
      </c>
      <c r="AO11" s="929" t="n">
        <v>23.0</v>
      </c>
      <c r="AP11" s="948" t="n">
        <v>1.8</v>
      </c>
      <c r="AQ11" s="967" t="n">
        <v>2.9</v>
      </c>
      <c r="AR11" s="986" t="n">
        <v>1.8</v>
      </c>
      <c r="AS11" s="1005" t="n">
        <v>3.0</v>
      </c>
      <c r="AT11" s="1024" t="n">
        <v>75.2</v>
      </c>
      <c r="AU11" s="1043" t="n">
        <v>64.9</v>
      </c>
      <c r="AV11" s="1062" t="n">
        <v>0.6</v>
      </c>
      <c r="AW11" s="1081" t="n">
        <v>1.6</v>
      </c>
      <c r="AX11" s="1100" t="n">
        <v>1.0</v>
      </c>
      <c r="AY11" s="1119" t="n">
        <v>1.2</v>
      </c>
      <c r="AZ11" s="1138" t="n">
        <v>7.7</v>
      </c>
      <c r="BA11" s="1157" t="n">
        <v>10.4</v>
      </c>
      <c r="BB11" s="1176" t="n">
        <v>12.0</v>
      </c>
      <c r="BC11" s="1195" t="n">
        <v>16.1</v>
      </c>
    </row>
    <row r="12" customFormat="false" ht="15" hidden="false" customHeight="true" outlineLevel="0" collapsed="false">
      <c r="A12" s="170" t="s">
        <v>77</v>
      </c>
      <c r="B12" s="189" t="n">
        <v>6.3</v>
      </c>
      <c r="C12" s="208" t="n">
        <v>875.0</v>
      </c>
      <c r="D12" s="227" t="n">
        <v>14792.0</v>
      </c>
      <c r="E12" s="246" t="n">
        <v>77.2</v>
      </c>
      <c r="F12" s="265" t="n">
        <v>22.8</v>
      </c>
      <c r="G12" s="284" t="n">
        <v>52.6</v>
      </c>
      <c r="H12" s="303" t="n">
        <v>47.4</v>
      </c>
      <c r="I12" s="322" t="n">
        <v>9.1</v>
      </c>
      <c r="J12" s="341" t="n">
        <v>7.0</v>
      </c>
      <c r="K12" s="360" t="n">
        <v>12.5</v>
      </c>
      <c r="L12" s="379" t="n">
        <v>25.9</v>
      </c>
      <c r="M12" s="398" t="n">
        <v>36.3</v>
      </c>
      <c r="N12" s="417" t="n">
        <v>21.1</v>
      </c>
      <c r="O12" s="436" t="n">
        <v>8.5</v>
      </c>
      <c r="P12" s="455" t="n">
        <v>10.3</v>
      </c>
      <c r="Q12" s="474" t="n">
        <v>19.9</v>
      </c>
      <c r="R12" s="493" t="n">
        <v>14.6</v>
      </c>
      <c r="S12" s="512" t="n">
        <v>16.6</v>
      </c>
      <c r="T12" s="531" t="n">
        <v>15.6</v>
      </c>
      <c r="U12" s="550" t="n">
        <v>16.4</v>
      </c>
      <c r="V12" s="569" t="n">
        <v>12.0</v>
      </c>
      <c r="W12" s="588" t="n">
        <v>8.9</v>
      </c>
      <c r="X12" s="607" t="n">
        <v>37.2</v>
      </c>
      <c r="Y12" s="626" t="n">
        <v>34.5</v>
      </c>
      <c r="Z12" s="645" t="n">
        <v>35.1</v>
      </c>
      <c r="AA12" s="664" t="n">
        <v>70.2</v>
      </c>
      <c r="AB12" s="683" t="n">
        <v>75.8</v>
      </c>
      <c r="AC12" s="702" t="n">
        <v>63.9</v>
      </c>
      <c r="AD12" s="721" t="n">
        <v>11.1</v>
      </c>
      <c r="AE12" s="740" t="n">
        <v>5.7</v>
      </c>
      <c r="AF12" s="759" t="n">
        <v>5.6</v>
      </c>
      <c r="AG12" s="778" t="n">
        <v>33.0</v>
      </c>
      <c r="AH12" s="797" t="n">
        <v>42.94</v>
      </c>
      <c r="AI12" s="816" t="n">
        <v>39.0</v>
      </c>
      <c r="AJ12" s="835" t="n">
        <v>29.91</v>
      </c>
      <c r="AK12" s="854" t="n">
        <v>35.8</v>
      </c>
      <c r="AL12" s="873" t="n">
        <v>34.0</v>
      </c>
      <c r="AM12" s="892" t="n">
        <v>26.89</v>
      </c>
      <c r="AN12" s="911" t="n">
        <v>25.87</v>
      </c>
      <c r="AO12" s="930" t="n">
        <v>23.0</v>
      </c>
      <c r="AP12" s="949" t="n">
        <v>13.5</v>
      </c>
      <c r="AQ12" s="968" t="n">
        <v>2.9</v>
      </c>
      <c r="AR12" s="987" t="n">
        <v>11.3</v>
      </c>
      <c r="AS12" s="1006" t="n">
        <v>3.0</v>
      </c>
      <c r="AT12" s="1025" t="n">
        <v>16.5</v>
      </c>
      <c r="AU12" s="1044" t="n">
        <v>64.9</v>
      </c>
      <c r="AV12" s="1063" t="n">
        <v>9.0</v>
      </c>
      <c r="AW12" s="1082" t="n">
        <v>1.6</v>
      </c>
      <c r="AX12" s="1101" t="n">
        <v>5.2</v>
      </c>
      <c r="AY12" s="1120" t="n">
        <v>1.2</v>
      </c>
      <c r="AZ12" s="1139" t="n">
        <v>16.1</v>
      </c>
      <c r="BA12" s="1158" t="n">
        <v>10.4</v>
      </c>
      <c r="BB12" s="1177" t="n">
        <v>28.3</v>
      </c>
      <c r="BC12" s="1196" t="n">
        <v>16.1</v>
      </c>
    </row>
    <row r="13" customFormat="false" ht="15" hidden="false" customHeight="true" outlineLevel="0" collapsed="false">
      <c r="A13" s="171" t="s">
        <v>78</v>
      </c>
      <c r="B13" s="190" t="n">
        <v>7.1</v>
      </c>
      <c r="C13" s="209" t="n">
        <v>27021.0</v>
      </c>
      <c r="D13" s="228" t="n">
        <v>410000.0</v>
      </c>
      <c r="E13" s="247" t="n">
        <v>22.0</v>
      </c>
      <c r="F13" s="266" t="n">
        <v>78.0</v>
      </c>
      <c r="G13" s="285" t="n">
        <v>52.6</v>
      </c>
      <c r="H13" s="304" t="n">
        <v>47.4</v>
      </c>
      <c r="I13" s="323" t="n">
        <v>6.1</v>
      </c>
      <c r="J13" s="342" t="n">
        <v>7.1</v>
      </c>
      <c r="K13" s="361" t="n">
        <v>12.5</v>
      </c>
      <c r="L13" s="380" t="n">
        <v>24.5</v>
      </c>
      <c r="M13" s="399" t="n">
        <v>21.5</v>
      </c>
      <c r="N13" s="418" t="n">
        <v>21.1</v>
      </c>
      <c r="O13" s="437" t="n">
        <v>26.6</v>
      </c>
      <c r="P13" s="456" t="n">
        <v>22.5</v>
      </c>
      <c r="Q13" s="475" t="n">
        <v>19.9</v>
      </c>
      <c r="R13" s="494" t="n">
        <v>14.3</v>
      </c>
      <c r="S13" s="513" t="n">
        <v>14.2</v>
      </c>
      <c r="T13" s="532" t="n">
        <v>15.6</v>
      </c>
      <c r="U13" s="551" t="n">
        <v>12.3</v>
      </c>
      <c r="V13" s="570" t="n">
        <v>9.0</v>
      </c>
      <c r="W13" s="589" t="n">
        <v>8.9</v>
      </c>
      <c r="X13" s="608" t="n">
        <v>34.0</v>
      </c>
      <c r="Y13" s="627" t="n">
        <v>32.7</v>
      </c>
      <c r="Z13" s="646" t="n">
        <v>35.1</v>
      </c>
      <c r="AA13" s="665" t="n">
        <v>44.0</v>
      </c>
      <c r="AB13" s="684" t="n">
        <v>39.4</v>
      </c>
      <c r="AC13" s="703" t="n">
        <v>63.9</v>
      </c>
      <c r="AD13" s="722" t="n">
        <v>1.3</v>
      </c>
      <c r="AE13" s="741" t="n">
        <v>1.4</v>
      </c>
      <c r="AF13" s="760" t="n">
        <v>5.6</v>
      </c>
      <c r="AG13" s="779" t="n">
        <v>30.17</v>
      </c>
      <c r="AH13" s="798" t="n">
        <v>37.01</v>
      </c>
      <c r="AI13" s="817" t="n">
        <v>39.0</v>
      </c>
      <c r="AJ13" s="836" t="n">
        <v>28.28</v>
      </c>
      <c r="AK13" s="855" t="n">
        <v>36.25</v>
      </c>
      <c r="AL13" s="874" t="n">
        <v>34.0</v>
      </c>
      <c r="AM13" s="893" t="n">
        <v>22.06</v>
      </c>
      <c r="AN13" s="912" t="n">
        <v>27.11</v>
      </c>
      <c r="AO13" s="931" t="n">
        <v>23.0</v>
      </c>
      <c r="AP13" s="950" t="n">
        <v>3.6</v>
      </c>
      <c r="AQ13" s="969" t="n">
        <v>2.9</v>
      </c>
      <c r="AR13" s="988" t="n">
        <v>3.2</v>
      </c>
      <c r="AS13" s="1007" t="n">
        <v>3.0</v>
      </c>
      <c r="AT13" s="1026" t="n">
        <v>59.3</v>
      </c>
      <c r="AU13" s="1045" t="n">
        <v>64.9</v>
      </c>
      <c r="AV13" s="1064" t="n">
        <v>1.5</v>
      </c>
      <c r="AW13" s="1083" t="n">
        <v>1.6</v>
      </c>
      <c r="AX13" s="1102" t="n">
        <v>1.0</v>
      </c>
      <c r="AY13" s="1121" t="n">
        <v>1.2</v>
      </c>
      <c r="AZ13" s="1140" t="n">
        <v>11.7</v>
      </c>
      <c r="BA13" s="1159" t="n">
        <v>10.4</v>
      </c>
      <c r="BB13" s="1178" t="n">
        <v>19.7</v>
      </c>
      <c r="BC13" s="1197" t="n">
        <v>16.1</v>
      </c>
    </row>
    <row r="14" customFormat="false" ht="15" hidden="false" customHeight="true" outlineLevel="0" collapsed="false">
      <c r="A14" s="172" t="s">
        <v>79</v>
      </c>
      <c r="B14" s="191" t="n">
        <v>5.0</v>
      </c>
      <c r="C14" s="210" t="n">
        <v>7042.0</v>
      </c>
      <c r="D14" s="229" t="n">
        <v>147604.0</v>
      </c>
      <c r="E14" s="248" t="n">
        <v>55.5</v>
      </c>
      <c r="F14" s="267" t="n">
        <v>44.5</v>
      </c>
      <c r="G14" s="286" t="n">
        <v>52.6</v>
      </c>
      <c r="H14" s="305" t="n">
        <v>47.4</v>
      </c>
      <c r="I14" s="324" t="n">
        <v>21.2</v>
      </c>
      <c r="J14" s="343" t="n">
        <v>21.5</v>
      </c>
      <c r="K14" s="362" t="n">
        <v>12.5</v>
      </c>
      <c r="L14" s="381" t="n">
        <v>18.3</v>
      </c>
      <c r="M14" s="400" t="n">
        <v>15.9</v>
      </c>
      <c r="N14" s="419" t="n">
        <v>21.1</v>
      </c>
      <c r="O14" s="438" t="n">
        <v>27.7</v>
      </c>
      <c r="P14" s="457" t="n">
        <v>31.4</v>
      </c>
      <c r="Q14" s="476" t="n">
        <v>19.9</v>
      </c>
      <c r="R14" s="495" t="n">
        <v>19.1</v>
      </c>
      <c r="S14" s="514" t="n">
        <v>17.1</v>
      </c>
      <c r="T14" s="533" t="n">
        <v>15.6</v>
      </c>
      <c r="U14" s="552" t="n">
        <v>22.2</v>
      </c>
      <c r="V14" s="571" t="n">
        <v>22.3</v>
      </c>
      <c r="W14" s="590" t="n">
        <v>8.9</v>
      </c>
      <c r="X14" s="609" t="n">
        <v>30.6</v>
      </c>
      <c r="Y14" s="628" t="n">
        <v>31.7</v>
      </c>
      <c r="Z14" s="647" t="n">
        <v>35.1</v>
      </c>
      <c r="AA14" s="666" t="n">
        <v>72.5</v>
      </c>
      <c r="AB14" s="685" t="n">
        <v>70.6</v>
      </c>
      <c r="AC14" s="704" t="n">
        <v>63.9</v>
      </c>
      <c r="AD14" s="723" t="n">
        <v>5.9</v>
      </c>
      <c r="AE14" s="742" t="n">
        <v>7.2</v>
      </c>
      <c r="AF14" s="761" t="n">
        <v>5.6</v>
      </c>
      <c r="AG14" s="780" t="n">
        <v>30.45</v>
      </c>
      <c r="AH14" s="799" t="n">
        <v>39.85</v>
      </c>
      <c r="AI14" s="818" t="n">
        <v>39.0</v>
      </c>
      <c r="AJ14" s="837" t="n">
        <v>23.56</v>
      </c>
      <c r="AK14" s="856" t="n">
        <v>32.45</v>
      </c>
      <c r="AL14" s="875" t="n">
        <v>34.0</v>
      </c>
      <c r="AM14" s="894" t="n">
        <v>18.04</v>
      </c>
      <c r="AN14" s="913" t="n">
        <v>21.12</v>
      </c>
      <c r="AO14" s="932" t="n">
        <v>23.0</v>
      </c>
      <c r="AP14" s="951" t="n">
        <v>1.4</v>
      </c>
      <c r="AQ14" s="970" t="n">
        <v>2.9</v>
      </c>
      <c r="AR14" s="989" t="n">
        <v>1.9</v>
      </c>
      <c r="AS14" s="1008" t="n">
        <v>3.0</v>
      </c>
      <c r="AT14" s="1027" t="n">
        <v>70.5</v>
      </c>
      <c r="AU14" s="1046" t="n">
        <v>64.9</v>
      </c>
      <c r="AV14" s="1065" t="n">
        <v>0.8</v>
      </c>
      <c r="AW14" s="1084" t="n">
        <v>1.6</v>
      </c>
      <c r="AX14" s="1103" t="n">
        <v>0.5</v>
      </c>
      <c r="AY14" s="1122" t="n">
        <v>1.2</v>
      </c>
      <c r="AZ14" s="1141" t="n">
        <v>8.9</v>
      </c>
      <c r="BA14" s="1160" t="n">
        <v>10.4</v>
      </c>
      <c r="BB14" s="1179" t="n">
        <v>15.9</v>
      </c>
      <c r="BC14" s="1198" t="n">
        <v>16.1</v>
      </c>
    </row>
    <row r="15" customFormat="false" ht="15" hidden="false" customHeight="true" outlineLevel="0" collapsed="false">
      <c r="A15" s="173" t="s">
        <v>80</v>
      </c>
      <c r="B15" s="192" t="n">
        <v>1.3</v>
      </c>
      <c r="C15" s="211" t="n">
        <v>2229.0</v>
      </c>
      <c r="D15" s="230" t="n">
        <v>178562.0</v>
      </c>
      <c r="E15" s="249" t="n">
        <v>71.3</v>
      </c>
      <c r="F15" s="268" t="n">
        <v>28.7</v>
      </c>
      <c r="G15" s="287" t="n">
        <v>52.6</v>
      </c>
      <c r="H15" s="306" t="n">
        <v>47.4</v>
      </c>
      <c r="I15" s="325" t="n">
        <v>9.7</v>
      </c>
      <c r="J15" s="344" t="n">
        <v>8.7</v>
      </c>
      <c r="K15" s="363" t="n">
        <v>12.5</v>
      </c>
      <c r="L15" s="382" t="n">
        <v>26.8</v>
      </c>
      <c r="M15" s="401" t="n">
        <v>24.5</v>
      </c>
      <c r="N15" s="420" t="n">
        <v>21.1</v>
      </c>
      <c r="O15" s="439" t="n">
        <v>7.1</v>
      </c>
      <c r="P15" s="458" t="n">
        <v>5.5</v>
      </c>
      <c r="Q15" s="477" t="n">
        <v>19.9</v>
      </c>
      <c r="R15" s="496" t="n">
        <v>6.0</v>
      </c>
      <c r="S15" s="515" t="n">
        <v>5.3</v>
      </c>
      <c r="T15" s="534" t="n">
        <v>15.6</v>
      </c>
      <c r="U15" s="553" t="n">
        <v>6.9</v>
      </c>
      <c r="V15" s="572" t="n">
        <v>4.7</v>
      </c>
      <c r="W15" s="591" t="n">
        <v>8.9</v>
      </c>
      <c r="X15" s="610" t="n">
        <v>25.3</v>
      </c>
      <c r="Y15" s="629" t="n">
        <v>20.4</v>
      </c>
      <c r="Z15" s="648" t="n">
        <v>35.1</v>
      </c>
      <c r="AA15" s="667" t="n">
        <v>93.9</v>
      </c>
      <c r="AB15" s="686" t="n">
        <v>94.6</v>
      </c>
      <c r="AC15" s="705" t="n">
        <v>63.9</v>
      </c>
      <c r="AD15" s="724" t="n">
        <v>3.9</v>
      </c>
      <c r="AE15" s="743" t="n">
        <v>3.8</v>
      </c>
      <c r="AF15" s="762" t="n">
        <v>5.6</v>
      </c>
      <c r="AG15" s="781" t="n">
        <v>30.85</v>
      </c>
      <c r="AH15" s="800" t="n">
        <v>38.33</v>
      </c>
      <c r="AI15" s="819" t="n">
        <v>39.0</v>
      </c>
      <c r="AJ15" s="838" t="n">
        <v>23.85</v>
      </c>
      <c r="AK15" s="857" t="n">
        <v>31.11</v>
      </c>
      <c r="AL15" s="876" t="n">
        <v>34.0</v>
      </c>
      <c r="AM15" s="895" t="n">
        <v>20.42</v>
      </c>
      <c r="AN15" s="914" t="n">
        <v>23.69</v>
      </c>
      <c r="AO15" s="933" t="n">
        <v>23.0</v>
      </c>
      <c r="AP15" s="952" t="n">
        <v>4.8</v>
      </c>
      <c r="AQ15" s="971" t="n">
        <v>2.9</v>
      </c>
      <c r="AR15" s="990" t="n">
        <v>3.3</v>
      </c>
      <c r="AS15" s="1009" t="n">
        <v>3.0</v>
      </c>
      <c r="AT15" s="1028" t="n">
        <v>66.6</v>
      </c>
      <c r="AU15" s="1047" t="n">
        <v>64.9</v>
      </c>
      <c r="AV15" s="1066" t="n">
        <v>1.5</v>
      </c>
      <c r="AW15" s="1085" t="n">
        <v>1.6</v>
      </c>
      <c r="AX15" s="1104" t="n">
        <v>0.4</v>
      </c>
      <c r="AY15" s="1123" t="n">
        <v>1.2</v>
      </c>
      <c r="AZ15" s="1142" t="n">
        <v>12.4</v>
      </c>
      <c r="BA15" s="1161" t="n">
        <v>10.4</v>
      </c>
      <c r="BB15" s="1180" t="n">
        <v>10.9</v>
      </c>
      <c r="BC15" s="1199" t="n">
        <v>16.1</v>
      </c>
    </row>
    <row r="16" customFormat="false" ht="15" hidden="false" customHeight="true" outlineLevel="0" collapsed="false">
      <c r="A16" s="174" t="s">
        <v>81</v>
      </c>
      <c r="B16" s="193" t="n">
        <v>4.5</v>
      </c>
      <c r="C16" s="212" t="n">
        <v>1583.0</v>
      </c>
      <c r="D16" s="231" t="n">
        <v>36854.0</v>
      </c>
      <c r="E16" s="250" t="n">
        <v>83.8</v>
      </c>
      <c r="F16" s="269" t="n">
        <v>16.2</v>
      </c>
      <c r="G16" s="288" t="n">
        <v>52.6</v>
      </c>
      <c r="H16" s="307" t="n">
        <v>47.4</v>
      </c>
      <c r="I16" s="326" t="n">
        <v>4.0</v>
      </c>
      <c r="J16" s="345" t="n">
        <v>6.5</v>
      </c>
      <c r="K16" s="364" t="n">
        <v>12.5</v>
      </c>
      <c r="L16" s="383" t="n">
        <v>21.4</v>
      </c>
      <c r="M16" s="402" t="n">
        <v>16.6</v>
      </c>
      <c r="N16" s="421" t="n">
        <v>21.1</v>
      </c>
      <c r="O16" s="440" t="n">
        <v>5.0</v>
      </c>
      <c r="P16" s="459" t="n">
        <v>1.5</v>
      </c>
      <c r="Q16" s="478" t="n">
        <v>19.9</v>
      </c>
      <c r="R16" s="497" t="n">
        <v>8.7</v>
      </c>
      <c r="S16" s="516" t="n">
        <v>4.6</v>
      </c>
      <c r="T16" s="535" t="n">
        <v>15.6</v>
      </c>
      <c r="U16" s="554" t="n">
        <v>8.5</v>
      </c>
      <c r="V16" s="573" t="n">
        <v>6.3</v>
      </c>
      <c r="W16" s="592" t="n">
        <v>8.9</v>
      </c>
      <c r="X16" s="611" t="n">
        <v>16.5</v>
      </c>
      <c r="Y16" s="630" t="n">
        <v>20.4</v>
      </c>
      <c r="Z16" s="649" t="n">
        <v>35.1</v>
      </c>
      <c r="AA16" s="668" t="n">
        <v>90.5</v>
      </c>
      <c r="AB16" s="687" t="n">
        <v>95.1</v>
      </c>
      <c r="AC16" s="706" t="n">
        <v>63.9</v>
      </c>
      <c r="AD16" s="725" t="n">
        <v>4.9</v>
      </c>
      <c r="AE16" s="744" t="n">
        <v>2.7</v>
      </c>
      <c r="AF16" s="763" t="n">
        <v>5.6</v>
      </c>
      <c r="AG16" s="782" t="n">
        <v>43.53</v>
      </c>
      <c r="AH16" s="801" t="n">
        <v>55.05</v>
      </c>
      <c r="AI16" s="820" t="n">
        <v>39.0</v>
      </c>
      <c r="AJ16" s="839" t="n">
        <v>35.81</v>
      </c>
      <c r="AK16" s="858" t="n">
        <v>46.65</v>
      </c>
      <c r="AL16" s="877" t="n">
        <v>34.0</v>
      </c>
      <c r="AM16" s="896" t="n">
        <v>29.34</v>
      </c>
      <c r="AN16" s="915" t="n">
        <v>34.18</v>
      </c>
      <c r="AO16" s="934" t="n">
        <v>23.0</v>
      </c>
      <c r="AP16" s="953" t="n">
        <v>5.4</v>
      </c>
      <c r="AQ16" s="972" t="n">
        <v>2.9</v>
      </c>
      <c r="AR16" s="991" t="n">
        <v>19.3</v>
      </c>
      <c r="AS16" s="1010" t="n">
        <v>3.0</v>
      </c>
      <c r="AT16" s="1029" t="n">
        <v>21.0</v>
      </c>
      <c r="AU16" s="1048" t="n">
        <v>64.9</v>
      </c>
      <c r="AV16" s="1067" t="n">
        <v>6.0</v>
      </c>
      <c r="AW16" s="1086" t="n">
        <v>1.6</v>
      </c>
      <c r="AX16" s="1105" t="n">
        <v>15.1</v>
      </c>
      <c r="AY16" s="1124" t="n">
        <v>1.2</v>
      </c>
      <c r="AZ16" s="1143" t="n">
        <v>24.3</v>
      </c>
      <c r="BA16" s="1162" t="n">
        <v>10.4</v>
      </c>
      <c r="BB16" s="1181" t="n">
        <v>8.9</v>
      </c>
      <c r="BC16" s="1200" t="n">
        <v>16.1</v>
      </c>
    </row>
    <row r="17" customFormat="false" ht="15" hidden="false" customHeight="true" outlineLevel="0" collapsed="false">
      <c r="A17" s="175" t="s">
        <v>82</v>
      </c>
      <c r="B17" s="194" t="n">
        <v>3.8</v>
      </c>
      <c r="C17" s="213" t="n">
        <v>10979.0</v>
      </c>
      <c r="D17" s="232" t="n">
        <v>300062.0</v>
      </c>
      <c r="E17" s="251" t="n">
        <v>58.4</v>
      </c>
      <c r="F17" s="270" t="n">
        <v>41.6</v>
      </c>
      <c r="G17" s="289" t="n">
        <v>52.6</v>
      </c>
      <c r="H17" s="308" t="n">
        <v>47.4</v>
      </c>
      <c r="I17" s="327" t="n">
        <v>7.6</v>
      </c>
      <c r="J17" s="346" t="n">
        <v>5.1</v>
      </c>
      <c r="K17" s="365" t="n">
        <v>12.5</v>
      </c>
      <c r="L17" s="384" t="n">
        <v>21.4</v>
      </c>
      <c r="M17" s="403" t="n">
        <v>20.0</v>
      </c>
      <c r="N17" s="422" t="n">
        <v>21.1</v>
      </c>
      <c r="O17" s="441" t="n">
        <v>16.9</v>
      </c>
      <c r="P17" s="460" t="n">
        <v>13.0</v>
      </c>
      <c r="Q17" s="479" t="n">
        <v>19.9</v>
      </c>
      <c r="R17" s="498" t="n">
        <v>34.4</v>
      </c>
      <c r="S17" s="517" t="n">
        <v>28.2</v>
      </c>
      <c r="T17" s="536" t="n">
        <v>15.6</v>
      </c>
      <c r="U17" s="555" t="n">
        <v>4.3</v>
      </c>
      <c r="V17" s="574" t="n">
        <v>3.8</v>
      </c>
      <c r="W17" s="593" t="n">
        <v>8.9</v>
      </c>
      <c r="X17" s="612" t="n">
        <v>40.3</v>
      </c>
      <c r="Y17" s="631" t="n">
        <v>38.2</v>
      </c>
      <c r="Z17" s="650" t="n">
        <v>35.1</v>
      </c>
      <c r="AA17" s="669" t="n">
        <v>65.5</v>
      </c>
      <c r="AB17" s="688" t="n">
        <v>71.6</v>
      </c>
      <c r="AC17" s="707" t="n">
        <v>63.9</v>
      </c>
      <c r="AD17" s="726" t="n">
        <v>2.6</v>
      </c>
      <c r="AE17" s="745" t="n">
        <v>3.8</v>
      </c>
      <c r="AF17" s="764" t="n">
        <v>5.6</v>
      </c>
      <c r="AG17" s="783" t="n">
        <v>40.38</v>
      </c>
      <c r="AH17" s="802" t="n">
        <v>56.58</v>
      </c>
      <c r="AI17" s="821" t="n">
        <v>39.0</v>
      </c>
      <c r="AJ17" s="840" t="n">
        <v>29.38</v>
      </c>
      <c r="AK17" s="859" t="n">
        <v>43.06</v>
      </c>
      <c r="AL17" s="878" t="n">
        <v>34.0</v>
      </c>
      <c r="AM17" s="897" t="n">
        <v>20.72</v>
      </c>
      <c r="AN17" s="916" t="n">
        <v>28.8</v>
      </c>
      <c r="AO17" s="935" t="n">
        <v>23.0</v>
      </c>
      <c r="AP17" s="954" t="n">
        <v>1.1</v>
      </c>
      <c r="AQ17" s="973" t="n">
        <v>2.9</v>
      </c>
      <c r="AR17" s="992" t="n">
        <v>1.4</v>
      </c>
      <c r="AS17" s="1011" t="n">
        <v>3.0</v>
      </c>
      <c r="AT17" s="1030" t="n">
        <v>74.9</v>
      </c>
      <c r="AU17" s="1049" t="n">
        <v>64.9</v>
      </c>
      <c r="AV17" s="1068" t="n">
        <v>0.8</v>
      </c>
      <c r="AW17" s="1087" t="n">
        <v>1.6</v>
      </c>
      <c r="AX17" s="1106" t="n">
        <v>0.4</v>
      </c>
      <c r="AY17" s="1125" t="n">
        <v>1.2</v>
      </c>
      <c r="AZ17" s="1144" t="n">
        <v>7.6</v>
      </c>
      <c r="BA17" s="1163" t="n">
        <v>10.4</v>
      </c>
      <c r="BB17" s="1182" t="n">
        <v>13.8</v>
      </c>
      <c r="BC17" s="1201" t="n">
        <v>16.1</v>
      </c>
    </row>
    <row r="18" customFormat="false" ht="15" hidden="false" customHeight="true" outlineLevel="0" collapsed="false">
      <c r="A18" s="176" t="s">
        <v>83</v>
      </c>
      <c r="B18" s="195" t="n">
        <v>7.1</v>
      </c>
      <c r="C18" s="214" t="n">
        <v>10250.0</v>
      </c>
      <c r="D18" s="233" t="n">
        <v>153812.0</v>
      </c>
      <c r="E18" s="252" t="n">
        <v>50.5</v>
      </c>
      <c r="F18" s="271" t="n">
        <v>49.5</v>
      </c>
      <c r="G18" s="290" t="n">
        <v>52.6</v>
      </c>
      <c r="H18" s="309" t="n">
        <v>47.4</v>
      </c>
      <c r="I18" s="328" t="n">
        <v>3.7</v>
      </c>
      <c r="J18" s="347" t="n">
        <v>5.5</v>
      </c>
      <c r="K18" s="366" t="n">
        <v>12.5</v>
      </c>
      <c r="L18" s="385" t="n">
        <v>22.2</v>
      </c>
      <c r="M18" s="404" t="n">
        <v>16.6</v>
      </c>
      <c r="N18" s="423" t="n">
        <v>21.1</v>
      </c>
      <c r="O18" s="442" t="n">
        <v>6.7</v>
      </c>
      <c r="P18" s="461" t="n">
        <v>4.1</v>
      </c>
      <c r="Q18" s="480" t="n">
        <v>19.9</v>
      </c>
      <c r="R18" s="499" t="n">
        <v>0.0</v>
      </c>
      <c r="S18" s="518" t="n">
        <v>0.0</v>
      </c>
      <c r="T18" s="537" t="n">
        <v>15.6</v>
      </c>
      <c r="U18" s="556" t="n">
        <v>10.7</v>
      </c>
      <c r="V18" s="575" t="n">
        <v>10.0</v>
      </c>
      <c r="W18" s="594" t="n">
        <v>8.9</v>
      </c>
      <c r="X18" s="613" t="n">
        <v>17.6</v>
      </c>
      <c r="Y18" s="632" t="n">
        <v>17.1</v>
      </c>
      <c r="Z18" s="651" t="n">
        <v>35.1</v>
      </c>
      <c r="AA18" s="670" t="n">
        <v>0.2</v>
      </c>
      <c r="AB18" s="689" t="n">
        <v>0.3</v>
      </c>
      <c r="AC18" s="708" t="n">
        <v>63.9</v>
      </c>
      <c r="AD18" s="727" t="n">
        <v>2.0</v>
      </c>
      <c r="AE18" s="746" t="n">
        <v>1.2</v>
      </c>
      <c r="AF18" s="765" t="n">
        <v>5.6</v>
      </c>
      <c r="AG18" s="784" t="n">
        <v>39.53</v>
      </c>
      <c r="AH18" s="803" t="n">
        <v>47.59</v>
      </c>
      <c r="AI18" s="822" t="n">
        <v>39.0</v>
      </c>
      <c r="AJ18" s="841" t="n">
        <v>34.79</v>
      </c>
      <c r="AK18" s="860" t="n">
        <v>43.81</v>
      </c>
      <c r="AL18" s="879" t="n">
        <v>34.0</v>
      </c>
      <c r="AM18" s="898" t="n">
        <v>23.38</v>
      </c>
      <c r="AN18" s="917" t="n">
        <v>31.14</v>
      </c>
      <c r="AO18" s="936" t="n">
        <v>23.0</v>
      </c>
      <c r="AP18" s="955" t="n">
        <v>2.9</v>
      </c>
      <c r="AQ18" s="974" t="n">
        <v>2.9</v>
      </c>
      <c r="AR18" s="993" t="n">
        <v>2.3</v>
      </c>
      <c r="AS18" s="1012" t="n">
        <v>3.0</v>
      </c>
      <c r="AT18" s="1031" t="n">
        <v>55.8</v>
      </c>
      <c r="AU18" s="1050" t="n">
        <v>64.9</v>
      </c>
      <c r="AV18" s="1069" t="n">
        <v>1.9</v>
      </c>
      <c r="AW18" s="1088" t="n">
        <v>1.6</v>
      </c>
      <c r="AX18" s="1107" t="n">
        <v>0.9</v>
      </c>
      <c r="AY18" s="1126" t="n">
        <v>1.2</v>
      </c>
      <c r="AZ18" s="1145" t="n">
        <v>6.9</v>
      </c>
      <c r="BA18" s="1164" t="n">
        <v>10.4</v>
      </c>
      <c r="BB18" s="1183" t="n">
        <v>29.3</v>
      </c>
      <c r="BC18" s="1202" t="n">
        <v>16.1</v>
      </c>
    </row>
    <row r="19" customFormat="false" ht="15" hidden="false" customHeight="true" outlineLevel="0" collapsed="false">
      <c r="A19" s="177" t="s">
        <v>84</v>
      </c>
      <c r="B19" s="196" t="n">
        <v>6.6</v>
      </c>
      <c r="C19" s="215" t="n">
        <v>7376.0</v>
      </c>
      <c r="D19" s="234" t="n">
        <v>119188.0</v>
      </c>
      <c r="E19" s="253" t="n">
        <v>46.1</v>
      </c>
      <c r="F19" s="272" t="n">
        <v>53.9</v>
      </c>
      <c r="G19" s="291" t="n">
        <v>52.6</v>
      </c>
      <c r="H19" s="310" t="n">
        <v>47.4</v>
      </c>
      <c r="I19" s="329" t="n">
        <v>10.7</v>
      </c>
      <c r="J19" s="348" t="n">
        <v>13.8</v>
      </c>
      <c r="K19" s="367" t="n">
        <v>12.5</v>
      </c>
      <c r="L19" s="386" t="n">
        <v>24.3</v>
      </c>
      <c r="M19" s="405" t="n">
        <v>22.0</v>
      </c>
      <c r="N19" s="424" t="n">
        <v>21.1</v>
      </c>
      <c r="O19" s="443" t="n">
        <v>27.2</v>
      </c>
      <c r="P19" s="462" t="n">
        <v>22.7</v>
      </c>
      <c r="Q19" s="481" t="n">
        <v>19.9</v>
      </c>
      <c r="R19" s="500" t="n">
        <v>29.6</v>
      </c>
      <c r="S19" s="519" t="n">
        <v>27.4</v>
      </c>
      <c r="T19" s="538" t="n">
        <v>15.6</v>
      </c>
      <c r="U19" s="557" t="n">
        <v>6.4</v>
      </c>
      <c r="V19" s="576" t="n">
        <v>7.2</v>
      </c>
      <c r="W19" s="595" t="n">
        <v>8.9</v>
      </c>
      <c r="X19" s="614" t="n">
        <v>74.7</v>
      </c>
      <c r="Y19" s="633" t="n">
        <v>65.1</v>
      </c>
      <c r="Z19" s="652" t="n">
        <v>35.1</v>
      </c>
      <c r="AA19" s="671" t="n">
        <v>70.3</v>
      </c>
      <c r="AB19" s="690" t="n">
        <v>72.6</v>
      </c>
      <c r="AC19" s="709" t="n">
        <v>63.9</v>
      </c>
      <c r="AD19" s="728" t="n">
        <v>3.0</v>
      </c>
      <c r="AE19" s="747" t="n">
        <v>3.1</v>
      </c>
      <c r="AF19" s="766" t="n">
        <v>5.6</v>
      </c>
      <c r="AG19" s="785" t="n">
        <v>26.84</v>
      </c>
      <c r="AH19" s="804" t="n">
        <v>33.25</v>
      </c>
      <c r="AI19" s="823" t="n">
        <v>39.0</v>
      </c>
      <c r="AJ19" s="842" t="n">
        <v>22.58</v>
      </c>
      <c r="AK19" s="861" t="n">
        <v>31.49</v>
      </c>
      <c r="AL19" s="880" t="n">
        <v>34.0</v>
      </c>
      <c r="AM19" s="899" t="n">
        <v>18.45</v>
      </c>
      <c r="AN19" s="918" t="n">
        <v>22.78</v>
      </c>
      <c r="AO19" s="937" t="n">
        <v>23.0</v>
      </c>
      <c r="AP19" s="956" t="n">
        <v>3.0</v>
      </c>
      <c r="AQ19" s="975" t="n">
        <v>2.9</v>
      </c>
      <c r="AR19" s="994" t="n">
        <v>3.1</v>
      </c>
      <c r="AS19" s="1013" t="n">
        <v>3.0</v>
      </c>
      <c r="AT19" s="1032" t="n">
        <v>62.2</v>
      </c>
      <c r="AU19" s="1051" t="n">
        <v>64.9</v>
      </c>
      <c r="AV19" s="1070" t="n">
        <v>1.8</v>
      </c>
      <c r="AW19" s="1089" t="n">
        <v>1.6</v>
      </c>
      <c r="AX19" s="1108" t="n">
        <v>1.9</v>
      </c>
      <c r="AY19" s="1127" t="n">
        <v>1.2</v>
      </c>
      <c r="AZ19" s="1146" t="n">
        <v>12.6</v>
      </c>
      <c r="BA19" s="1165" t="n">
        <v>10.4</v>
      </c>
      <c r="BB19" s="1184" t="n">
        <v>15.5</v>
      </c>
      <c r="BC19" s="1203" t="n">
        <v>16.1</v>
      </c>
    </row>
    <row r="20" customFormat="false" ht="15" hidden="false" customHeight="true" outlineLevel="0" collapsed="false">
      <c r="A20" s="178" t="s">
        <v>85</v>
      </c>
      <c r="B20" s="197" t="n">
        <v>-6.2</v>
      </c>
      <c r="C20" s="216" t="n">
        <v>-21521.0</v>
      </c>
      <c r="D20" s="235" t="n">
        <v>325479.0</v>
      </c>
      <c r="E20" s="254" t="n">
        <v>49.3</v>
      </c>
      <c r="F20" s="273" t="n">
        <v>50.7</v>
      </c>
      <c r="G20" s="292" t="n">
        <v>52.6</v>
      </c>
      <c r="H20" s="311" t="n">
        <v>47.4</v>
      </c>
      <c r="I20" s="330" t="n">
        <v>29.4</v>
      </c>
      <c r="J20" s="349" t="n">
        <v>26.1</v>
      </c>
      <c r="K20" s="368" t="n">
        <v>12.5</v>
      </c>
      <c r="L20" s="387" t="n">
        <v>18.4</v>
      </c>
      <c r="M20" s="406" t="n">
        <v>20.7</v>
      </c>
      <c r="N20" s="425" t="n">
        <v>21.1</v>
      </c>
      <c r="O20" s="444" t="n">
        <v>32.4</v>
      </c>
      <c r="P20" s="463" t="n">
        <v>32.8</v>
      </c>
      <c r="Q20" s="482" t="n">
        <v>19.9</v>
      </c>
      <c r="R20" s="501" t="n">
        <v>7.4</v>
      </c>
      <c r="S20" s="520" t="n">
        <v>7.5</v>
      </c>
      <c r="T20" s="539" t="n">
        <v>15.6</v>
      </c>
      <c r="U20" s="558" t="n">
        <v>10.4</v>
      </c>
      <c r="V20" s="577" t="n">
        <v>8.6</v>
      </c>
      <c r="W20" s="596" t="n">
        <v>8.9</v>
      </c>
      <c r="X20" s="615" t="n">
        <v>38.2</v>
      </c>
      <c r="Y20" s="634" t="n">
        <v>39.3</v>
      </c>
      <c r="Z20" s="653" t="n">
        <v>35.1</v>
      </c>
      <c r="AA20" s="672" t="n">
        <v>91.5</v>
      </c>
      <c r="AB20" s="691" t="n">
        <v>91.1</v>
      </c>
      <c r="AC20" s="710" t="n">
        <v>63.9</v>
      </c>
      <c r="AD20" s="729" t="n">
        <v>3.3</v>
      </c>
      <c r="AE20" s="748" t="n">
        <v>3.7</v>
      </c>
      <c r="AF20" s="767" t="n">
        <v>5.6</v>
      </c>
      <c r="AG20" s="786" t="n">
        <v>23.77</v>
      </c>
      <c r="AH20" s="805" t="n">
        <v>27.92</v>
      </c>
      <c r="AI20" s="824" t="n">
        <v>39.0</v>
      </c>
      <c r="AJ20" s="843" t="n">
        <v>18.47</v>
      </c>
      <c r="AK20" s="862" t="n">
        <v>24.08</v>
      </c>
      <c r="AL20" s="881" t="n">
        <v>34.0</v>
      </c>
      <c r="AM20" s="900" t="n">
        <v>15.13</v>
      </c>
      <c r="AN20" s="919" t="n">
        <v>19.57</v>
      </c>
      <c r="AO20" s="938" t="n">
        <v>23.0</v>
      </c>
      <c r="AP20" s="957" t="n">
        <v>3.2</v>
      </c>
      <c r="AQ20" s="976" t="n">
        <v>2.9</v>
      </c>
      <c r="AR20" s="995" t="n">
        <v>3.9</v>
      </c>
      <c r="AS20" s="1014" t="n">
        <v>3.0</v>
      </c>
      <c r="AT20" s="1033" t="n">
        <v>63.5</v>
      </c>
      <c r="AU20" s="1052" t="n">
        <v>64.9</v>
      </c>
      <c r="AV20" s="1071" t="n">
        <v>1.5</v>
      </c>
      <c r="AW20" s="1090" t="n">
        <v>1.6</v>
      </c>
      <c r="AX20" s="1109" t="n">
        <v>1.2</v>
      </c>
      <c r="AY20" s="1128" t="n">
        <v>1.2</v>
      </c>
      <c r="AZ20" s="1147" t="n">
        <v>10.8</v>
      </c>
      <c r="BA20" s="1166" t="n">
        <v>10.4</v>
      </c>
      <c r="BB20" s="1185" t="n">
        <v>16.0</v>
      </c>
      <c r="BC20" s="1204" t="n">
        <v>16.1</v>
      </c>
    </row>
    <row r="21" customFormat="false" ht="15" hidden="false" customHeight="true" outlineLevel="0" collapsed="false">
      <c r="A21" s="179" t="s">
        <v>86</v>
      </c>
      <c r="B21" s="198" t="n">
        <v>6.5</v>
      </c>
      <c r="C21" s="217" t="n">
        <v>9520.0</v>
      </c>
      <c r="D21" s="236" t="n">
        <v>156208.0</v>
      </c>
      <c r="E21" s="255" t="n">
        <v>78.4</v>
      </c>
      <c r="F21" s="274" t="n">
        <v>21.6</v>
      </c>
      <c r="G21" s="293" t="n">
        <v>52.6</v>
      </c>
      <c r="H21" s="312" t="n">
        <v>47.4</v>
      </c>
      <c r="I21" s="331" t="n">
        <v>8.2</v>
      </c>
      <c r="J21" s="350" t="n">
        <v>6.2</v>
      </c>
      <c r="K21" s="369" t="n">
        <v>12.5</v>
      </c>
      <c r="L21" s="388" t="n">
        <v>27.7</v>
      </c>
      <c r="M21" s="407" t="n">
        <v>26.5</v>
      </c>
      <c r="N21" s="426" t="n">
        <v>21.1</v>
      </c>
      <c r="O21" s="445" t="n">
        <v>13.8</v>
      </c>
      <c r="P21" s="464" t="n">
        <v>15.0</v>
      </c>
      <c r="Q21" s="483" t="n">
        <v>19.9</v>
      </c>
      <c r="R21" s="502" t="n">
        <v>17.0</v>
      </c>
      <c r="S21" s="521" t="n">
        <v>17.0</v>
      </c>
      <c r="T21" s="540" t="n">
        <v>15.6</v>
      </c>
      <c r="U21" s="559" t="n">
        <v>7.0</v>
      </c>
      <c r="V21" s="578" t="n">
        <v>5.4</v>
      </c>
      <c r="W21" s="597" t="n">
        <v>8.9</v>
      </c>
      <c r="X21" s="616" t="n">
        <v>26.6</v>
      </c>
      <c r="Y21" s="635" t="n">
        <v>23.7</v>
      </c>
      <c r="Z21" s="654" t="n">
        <v>35.1</v>
      </c>
      <c r="AA21" s="673" t="n">
        <v>65.0</v>
      </c>
      <c r="AB21" s="692" t="n">
        <v>65.1</v>
      </c>
      <c r="AC21" s="711" t="n">
        <v>63.9</v>
      </c>
      <c r="AD21" s="730" t="n">
        <v>3.0</v>
      </c>
      <c r="AE21" s="749" t="n">
        <v>2.5</v>
      </c>
      <c r="AF21" s="768" t="n">
        <v>5.6</v>
      </c>
      <c r="AG21" s="787" t="n">
        <v>29.69</v>
      </c>
      <c r="AH21" s="806" t="n">
        <v>37.85</v>
      </c>
      <c r="AI21" s="825" t="n">
        <v>39.0</v>
      </c>
      <c r="AJ21" s="844" t="n">
        <v>27.39</v>
      </c>
      <c r="AK21" s="863" t="n">
        <v>32.77</v>
      </c>
      <c r="AL21" s="882" t="n">
        <v>34.0</v>
      </c>
      <c r="AM21" s="901" t="n">
        <v>19.53</v>
      </c>
      <c r="AN21" s="920" t="n">
        <v>27.46</v>
      </c>
      <c r="AO21" s="939" t="n">
        <v>23.0</v>
      </c>
      <c r="AP21" s="958" t="n">
        <v>2.6</v>
      </c>
      <c r="AQ21" s="977" t="n">
        <v>2.9</v>
      </c>
      <c r="AR21" s="996" t="n">
        <v>1.5</v>
      </c>
      <c r="AS21" s="1015" t="n">
        <v>3.0</v>
      </c>
      <c r="AT21" s="1034" t="n">
        <v>71.4</v>
      </c>
      <c r="AU21" s="1053" t="n">
        <v>64.9</v>
      </c>
      <c r="AV21" s="1072" t="n">
        <v>3.5</v>
      </c>
      <c r="AW21" s="1091" t="n">
        <v>1.6</v>
      </c>
      <c r="AX21" s="1110" t="n">
        <v>1.3</v>
      </c>
      <c r="AY21" s="1129" t="n">
        <v>1.2</v>
      </c>
      <c r="AZ21" s="1148" t="n">
        <v>7.2</v>
      </c>
      <c r="BA21" s="1167" t="n">
        <v>10.4</v>
      </c>
      <c r="BB21" s="1186" t="n">
        <v>12.3</v>
      </c>
      <c r="BC21" s="1205" t="n">
        <v>16.1</v>
      </c>
    </row>
    <row r="22" customFormat="false" ht="15" hidden="false" customHeight="true" outlineLevel="0" collapsed="false">
      <c r="A22" s="180" t="s">
        <v>87</v>
      </c>
      <c r="B22" s="199" t="n">
        <v>-1.3</v>
      </c>
      <c r="C22" s="218" t="n">
        <v>-229.0</v>
      </c>
      <c r="D22" s="237" t="n">
        <v>17917.0</v>
      </c>
      <c r="E22" s="256" t="n">
        <v>71.9</v>
      </c>
      <c r="F22" s="275" t="n">
        <v>28.1</v>
      </c>
      <c r="G22" s="294" t="n">
        <v>52.6</v>
      </c>
      <c r="H22" s="313" t="n">
        <v>47.4</v>
      </c>
      <c r="I22" s="332" t="n">
        <v>2.3</v>
      </c>
      <c r="J22" s="351" t="n">
        <v>5.7</v>
      </c>
      <c r="K22" s="370" t="n">
        <v>12.5</v>
      </c>
      <c r="L22" s="389" t="n">
        <v>21.3</v>
      </c>
      <c r="M22" s="408" t="n">
        <v>29.4</v>
      </c>
      <c r="N22" s="427" t="n">
        <v>21.1</v>
      </c>
      <c r="O22" s="446" t="n">
        <v>1.1</v>
      </c>
      <c r="P22" s="465" t="n">
        <v>1.7</v>
      </c>
      <c r="Q22" s="484" t="n">
        <v>19.9</v>
      </c>
      <c r="R22" s="503" t="n">
        <v>0.0</v>
      </c>
      <c r="S22" s="522" t="n">
        <v>0.0</v>
      </c>
      <c r="T22" s="541" t="n">
        <v>15.6</v>
      </c>
      <c r="U22" s="560" t="n">
        <v>6.0</v>
      </c>
      <c r="V22" s="579" t="n">
        <v>10.2</v>
      </c>
      <c r="W22" s="598" t="n">
        <v>8.9</v>
      </c>
      <c r="X22" s="617" t="n">
        <v>19.9</v>
      </c>
      <c r="Y22" s="636" t="n">
        <v>18.5</v>
      </c>
      <c r="Z22" s="655" t="n">
        <v>35.1</v>
      </c>
      <c r="AA22" s="674" t="n">
        <v>16.6</v>
      </c>
      <c r="AB22" s="693" t="n">
        <v>12.1</v>
      </c>
      <c r="AC22" s="712" t="n">
        <v>63.9</v>
      </c>
      <c r="AD22" s="731" t="n">
        <v>0.5</v>
      </c>
      <c r="AE22" s="750" t="n">
        <v>0.5</v>
      </c>
      <c r="AF22" s="769" t="n">
        <v>5.6</v>
      </c>
      <c r="AG22" s="788" t="n">
        <v>44.97</v>
      </c>
      <c r="AH22" s="807" t="n">
        <v>50.12</v>
      </c>
      <c r="AI22" s="826" t="n">
        <v>39.0</v>
      </c>
      <c r="AJ22" s="845" t="n">
        <v>40.25</v>
      </c>
      <c r="AK22" s="864" t="n">
        <v>48.55</v>
      </c>
      <c r="AL22" s="883" t="n">
        <v>34.0</v>
      </c>
      <c r="AM22" s="902" t="n">
        <v>27.41</v>
      </c>
      <c r="AN22" s="921" t="n">
        <v>33.0</v>
      </c>
      <c r="AO22" s="940" t="n">
        <v>23.0</v>
      </c>
      <c r="AP22" s="959" t="n">
        <v>3.0</v>
      </c>
      <c r="AQ22" s="978" t="n">
        <v>2.9</v>
      </c>
      <c r="AR22" s="997" t="n">
        <v>5.2</v>
      </c>
      <c r="AS22" s="1016" t="n">
        <v>3.0</v>
      </c>
      <c r="AT22" s="1035" t="n">
        <v>59.8</v>
      </c>
      <c r="AU22" s="1054" t="n">
        <v>64.9</v>
      </c>
      <c r="AV22" s="1073" t="n">
        <v>2.7</v>
      </c>
      <c r="AW22" s="1092" t="n">
        <v>1.6</v>
      </c>
      <c r="AX22" s="1111" t="n">
        <v>3.4</v>
      </c>
      <c r="AY22" s="1130" t="n">
        <v>1.2</v>
      </c>
      <c r="AZ22" s="1149" t="n">
        <v>17.6</v>
      </c>
      <c r="BA22" s="1168" t="n">
        <v>10.4</v>
      </c>
      <c r="BB22" s="1187" t="n">
        <v>8.3</v>
      </c>
      <c r="BC22" s="1206" t="n">
        <v>16.1</v>
      </c>
    </row>
    <row r="23" customFormat="false" ht="15" hidden="false" customHeight="true" outlineLevel="0" collapsed="false">
      <c r="A23" s="181" t="s">
        <v>88</v>
      </c>
      <c r="B23" s="200" t="n">
        <v>9.1</v>
      </c>
      <c r="C23" s="219" t="n">
        <v>8604.0</v>
      </c>
      <c r="D23" s="238" t="n">
        <v>102958.0</v>
      </c>
      <c r="E23" s="257" t="n">
        <v>67.2</v>
      </c>
      <c r="F23" s="276" t="n">
        <v>32.8</v>
      </c>
      <c r="G23" s="295" t="n">
        <v>52.6</v>
      </c>
      <c r="H23" s="314" t="n">
        <v>47.4</v>
      </c>
      <c r="I23" s="333" t="n">
        <v>6.7</v>
      </c>
      <c r="J23" s="352" t="n">
        <v>8.5</v>
      </c>
      <c r="K23" s="371" t="n">
        <v>12.5</v>
      </c>
      <c r="L23" s="390" t="n">
        <v>26.5</v>
      </c>
      <c r="M23" s="409" t="n">
        <v>28.1</v>
      </c>
      <c r="N23" s="428" t="n">
        <v>21.1</v>
      </c>
      <c r="O23" s="447" t="n">
        <v>9.1</v>
      </c>
      <c r="P23" s="466" t="n">
        <v>10.1</v>
      </c>
      <c r="Q23" s="485" t="n">
        <v>19.9</v>
      </c>
      <c r="R23" s="504" t="n">
        <v>11.4</v>
      </c>
      <c r="S23" s="523" t="n">
        <v>10.6</v>
      </c>
      <c r="T23" s="542" t="n">
        <v>15.6</v>
      </c>
      <c r="U23" s="561" t="n">
        <v>3.1</v>
      </c>
      <c r="V23" s="580" t="n">
        <v>3.4</v>
      </c>
      <c r="W23" s="599" t="n">
        <v>8.9</v>
      </c>
      <c r="X23" s="618" t="n">
        <v>39.7</v>
      </c>
      <c r="Y23" s="637" t="n">
        <v>50.5</v>
      </c>
      <c r="Z23" s="656" t="n">
        <v>35.1</v>
      </c>
      <c r="AA23" s="675" t="n">
        <v>88.6</v>
      </c>
      <c r="AB23" s="694" t="n">
        <v>89.3</v>
      </c>
      <c r="AC23" s="713" t="n">
        <v>63.9</v>
      </c>
      <c r="AD23" s="732" t="n">
        <v>1.3</v>
      </c>
      <c r="AE23" s="751" t="n">
        <v>2.3</v>
      </c>
      <c r="AF23" s="770" t="n">
        <v>5.6</v>
      </c>
      <c r="AG23" s="789" t="n">
        <v>33.06</v>
      </c>
      <c r="AH23" s="808" t="n">
        <v>38.31</v>
      </c>
      <c r="AI23" s="827" t="n">
        <v>39.0</v>
      </c>
      <c r="AJ23" s="846" t="n">
        <v>25.31</v>
      </c>
      <c r="AK23" s="865" t="n">
        <v>33.22</v>
      </c>
      <c r="AL23" s="884" t="n">
        <v>34.0</v>
      </c>
      <c r="AM23" s="903" t="n">
        <v>19.12</v>
      </c>
      <c r="AN23" s="922" t="n">
        <v>26.23</v>
      </c>
      <c r="AO23" s="941" t="n">
        <v>23.0</v>
      </c>
      <c r="AP23" s="960" t="n">
        <v>3.1</v>
      </c>
      <c r="AQ23" s="979" t="n">
        <v>2.9</v>
      </c>
      <c r="AR23" s="998" t="n">
        <v>1.8</v>
      </c>
      <c r="AS23" s="1017" t="n">
        <v>3.0</v>
      </c>
      <c r="AT23" s="1036" t="n">
        <v>74.9</v>
      </c>
      <c r="AU23" s="1055" t="n">
        <v>64.9</v>
      </c>
      <c r="AV23" s="1074" t="n">
        <v>0.8</v>
      </c>
      <c r="AW23" s="1093" t="n">
        <v>1.6</v>
      </c>
      <c r="AX23" s="1112" t="n">
        <v>1.1</v>
      </c>
      <c r="AY23" s="1131" t="n">
        <v>1.2</v>
      </c>
      <c r="AZ23" s="1150" t="n">
        <v>8.7</v>
      </c>
      <c r="BA23" s="1169" t="n">
        <v>10.4</v>
      </c>
      <c r="BB23" s="1188" t="n">
        <v>9.7</v>
      </c>
      <c r="BC23" s="1207" t="n">
        <v>16.1</v>
      </c>
    </row>
    <row r="24" customFormat="false" ht="21" hidden="false" customHeight="false" outlineLevel="0" collapsed="false">
      <c r="A24" s="88"/>
      <c r="B24" s="89"/>
      <c r="C24" s="89"/>
      <c r="D24" s="89"/>
      <c r="E24" s="90"/>
      <c r="F24" s="90"/>
      <c r="G24" s="90"/>
      <c r="H24" s="90"/>
      <c r="I24" s="91"/>
      <c r="J24" s="91"/>
      <c r="K24" s="90"/>
      <c r="L24" s="90"/>
      <c r="M24" s="90"/>
      <c r="N24" s="90"/>
      <c r="O24" s="90"/>
      <c r="P24" s="90"/>
      <c r="Q24" s="90"/>
      <c r="R24" s="90"/>
      <c r="S24" s="90"/>
      <c r="T24" s="90"/>
      <c r="AT24" s="92"/>
    </row>
    <row r="25" customFormat="false" ht="21" hidden="false" customHeight="false" outlineLevel="0" collapsed="false">
      <c r="A25" s="93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</row>
    <row r="26" customFormat="false" ht="14.25" hidden="false" customHeight="false" outlineLevel="0" collapsed="false"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P26" s="92"/>
      <c r="AQ26" s="92"/>
      <c r="AR26" s="94"/>
      <c r="AS26" s="94"/>
      <c r="AT26" s="94"/>
      <c r="AU26" s="94"/>
      <c r="AV26" s="94"/>
      <c r="AW26" s="94"/>
      <c r="AX26" s="92"/>
      <c r="AY26" s="92"/>
      <c r="AZ26" s="92"/>
      <c r="BA26" s="92"/>
      <c r="BB26" s="92"/>
      <c r="BC26" s="92"/>
    </row>
    <row r="27" s="1" customFormat="true" ht="12.75" hidden="false" customHeight="false" outlineLevel="0" collapsed="false"/>
    <row r="28" s="1" customFormat="true" ht="12.75" hidden="false" customHeight="false" outlineLevel="0" collapsed="false"/>
    <row r="29" s="96" customFormat="true" ht="12.75" hidden="false" customHeight="false" outlineLevel="0" collapsed="false">
      <c r="A29" s="9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="96" customFormat="true" ht="12.75" hidden="false" customHeight="false" outlineLevel="0" collapsed="false">
      <c r="A30" s="9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="96" customFormat="true" ht="12.75" hidden="false" customHeight="false" outlineLevel="0" collapsed="false">
      <c r="A31" s="9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="96" customFormat="true" ht="12.75" hidden="false" customHeight="false" outlineLevel="0" collapsed="false">
      <c r="A32" s="9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="96" customFormat="true" ht="12.75" hidden="false" customHeight="false" outlineLevel="0" collapsed="false">
      <c r="A33" s="95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="96" customFormat="true" ht="12.75" hidden="false" customHeight="false" outlineLevel="0" collapsed="false">
      <c r="A34" s="9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="96" customFormat="true" ht="12.75" hidden="false" customHeight="false" outlineLevel="0" collapsed="false">
      <c r="A35" s="9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="96" customFormat="true" ht="12.75" hidden="false" customHeight="false" outlineLevel="0" collapsed="false">
      <c r="A36" s="95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="96" customFormat="true" ht="12.75" hidden="false" customHeight="false" outlineLevel="0" collapsed="false">
      <c r="A37" s="9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="96" customFormat="true" ht="12.75" hidden="false" customHeight="false" outlineLevel="0" collapsed="false">
      <c r="A38" s="9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="96" customFormat="true" ht="12.75" hidden="false" customHeight="false" outlineLevel="0" collapsed="false">
      <c r="A39" s="9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="96" customFormat="true" ht="12.75" hidden="false" customHeight="false" outlineLevel="0" collapsed="false">
      <c r="A40" s="9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="96" customFormat="true" ht="12.75" hidden="false" customHeight="false" outlineLevel="0" collapsed="false">
      <c r="A41" s="9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="96" customFormat="true" ht="12.75" hidden="false" customHeight="false" outlineLevel="0" collapsed="false">
      <c r="A42" s="95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="96" customFormat="true" ht="12.75" hidden="false" customHeight="false" outlineLevel="0" collapsed="false">
      <c r="A43" s="9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="96" customFormat="true" ht="12.75" hidden="false" customHeight="false" outlineLevel="0" collapsed="false">
      <c r="A44" s="9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="96" customFormat="true" ht="12.75" hidden="false" customHeight="false" outlineLevel="0" collapsed="false">
      <c r="A45" s="9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="96" customFormat="true" ht="12.75" hidden="false" customHeight="false" outlineLevel="0" collapsed="false">
      <c r="A46" s="95"/>
      <c r="B46" s="1"/>
      <c r="C46" s="97"/>
      <c r="D46" s="98"/>
      <c r="E46" s="99"/>
      <c r="F46" s="99"/>
      <c r="G46" s="99"/>
      <c r="H46" s="99"/>
      <c r="I46" s="100"/>
      <c r="J46" s="100"/>
      <c r="K46" s="100"/>
      <c r="L46" s="100"/>
      <c r="M46" s="100"/>
      <c r="N46" s="100"/>
      <c r="O46" s="99"/>
      <c r="P46" s="100"/>
      <c r="Q46" s="100"/>
      <c r="R46" s="101"/>
      <c r="S46" s="100"/>
      <c r="T46" s="100"/>
      <c r="U46" s="102"/>
      <c r="V46" s="102"/>
      <c r="W46" s="102"/>
      <c r="Y46" s="102"/>
      <c r="Z46" s="102"/>
      <c r="AB46" s="99"/>
      <c r="AC46" s="99"/>
    </row>
    <row r="47" customFormat="false" ht="12.75" hidden="false" customHeight="false" outlineLevel="0" collapsed="false">
      <c r="C47" s="103"/>
      <c r="D47" s="104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V47" s="92"/>
      <c r="W47" s="92"/>
    </row>
    <row r="48" customFormat="false" ht="12.75" hidden="false" customHeight="false" outlineLevel="0" collapsed="false">
      <c r="A48" s="105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AA48" s="104"/>
      <c r="AB48" s="104"/>
      <c r="AC48" s="104"/>
    </row>
    <row r="49" customFormat="false" ht="12.75" hidden="false" customHeight="false" outlineLevel="0" collapsed="false">
      <c r="A49" s="105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AA49" s="104"/>
      <c r="AB49" s="104"/>
      <c r="AC49" s="104"/>
    </row>
    <row r="50" customFormat="false" ht="12.75" hidden="false" customHeight="false" outlineLevel="0" collapsed="false">
      <c r="A50" s="105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AA50" s="104"/>
      <c r="AB50" s="104"/>
      <c r="AC50" s="104"/>
    </row>
    <row r="51" customFormat="false" ht="12.75" hidden="false" customHeight="false" outlineLevel="0" collapsed="false">
      <c r="A51" s="105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AA51" s="104"/>
      <c r="AB51" s="104"/>
      <c r="AC51" s="104"/>
    </row>
    <row r="52" customFormat="false" ht="12.75" hidden="false" customHeight="false" outlineLevel="0" collapsed="false">
      <c r="A52" s="105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AA52" s="104"/>
      <c r="AB52" s="104"/>
      <c r="AC52" s="104"/>
    </row>
    <row r="53" customFormat="false" ht="12.75" hidden="false" customHeight="false" outlineLevel="0" collapsed="false">
      <c r="A53" s="105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AA53" s="104"/>
      <c r="AB53" s="104"/>
      <c r="AC53" s="104"/>
    </row>
    <row r="54" customFormat="false" ht="12.75" hidden="false" customHeight="false" outlineLevel="0" collapsed="false">
      <c r="A54" s="105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AA54" s="104"/>
      <c r="AB54" s="104"/>
      <c r="AC54" s="104"/>
    </row>
    <row r="55" customFormat="false" ht="12.75" hidden="false" customHeight="false" outlineLevel="0" collapsed="false">
      <c r="A55" s="105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AA55" s="104"/>
      <c r="AB55" s="104"/>
      <c r="AC55" s="104"/>
    </row>
    <row r="56" customFormat="false" ht="12.75" hidden="false" customHeight="false" outlineLevel="0" collapsed="false">
      <c r="A56" s="105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AA56" s="104"/>
      <c r="AB56" s="104"/>
      <c r="AC56" s="104"/>
    </row>
    <row r="57" customFormat="false" ht="12.75" hidden="false" customHeight="false" outlineLevel="0" collapsed="false">
      <c r="A57" s="105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AA57" s="104"/>
      <c r="AB57" s="104"/>
      <c r="AC57" s="104"/>
    </row>
    <row r="58" customFormat="false" ht="12.75" hidden="false" customHeight="false" outlineLevel="0" collapsed="false">
      <c r="A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AA58" s="104"/>
      <c r="AB58" s="104"/>
      <c r="AC58" s="104"/>
    </row>
    <row r="59" customFormat="false" ht="12.75" hidden="false" customHeight="false" outlineLevel="0" collapsed="false">
      <c r="A59" s="105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AA59" s="104"/>
      <c r="AB59" s="104"/>
      <c r="AC59" s="104"/>
    </row>
    <row r="60" customFormat="false" ht="12.75" hidden="false" customHeight="false" outlineLevel="0" collapsed="false">
      <c r="A60" s="105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AA60" s="104"/>
      <c r="AB60" s="104"/>
      <c r="AC60" s="104"/>
    </row>
    <row r="61" customFormat="false" ht="12.75" hidden="false" customHeight="false" outlineLevel="0" collapsed="false">
      <c r="A61" s="105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AA61" s="104"/>
      <c r="AB61" s="104"/>
      <c r="AC61" s="104"/>
    </row>
    <row r="62" customFormat="false" ht="12.75" hidden="false" customHeight="false" outlineLevel="0" collapsed="false">
      <c r="A62" s="105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AA62" s="104"/>
      <c r="AB62" s="104"/>
      <c r="AC62" s="104"/>
    </row>
    <row r="63" customFormat="false" ht="12.75" hidden="false" customHeight="false" outlineLevel="0" collapsed="false">
      <c r="A63" s="105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AA63" s="104"/>
      <c r="AB63" s="104"/>
      <c r="AC63" s="104"/>
    </row>
    <row r="64" customFormat="false" ht="12.75" hidden="false" customHeight="false" outlineLevel="0" collapsed="false">
      <c r="A64" s="105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AA64" s="104"/>
      <c r="AB64" s="104"/>
      <c r="AC64" s="104"/>
    </row>
    <row r="65" customFormat="false" ht="12.75" hidden="false" customHeight="false" outlineLevel="0" collapsed="false">
      <c r="A65" s="105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AA65" s="104"/>
      <c r="AB65" s="104"/>
      <c r="AC65" s="104"/>
    </row>
    <row r="86" customFormat="false" ht="12.75" hidden="false" customHeight="false" outlineLevel="0" collapsed="false"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</row>
    <row r="87" customFormat="false" ht="12.75" hidden="false" customHeight="false" outlineLevel="0" collapsed="false"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</row>
    <row r="90" customFormat="false" ht="12.75" hidden="false" customHeight="false" outlineLevel="0" collapsed="false"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</row>
    <row r="91" customFormat="false" ht="12.75" hidden="false" customHeight="false" outlineLevel="0" collapsed="false"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</row>
    <row r="92" customFormat="false" ht="12.75" hidden="false" customHeight="false" outlineLevel="0" collapsed="false"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</row>
    <row r="93" customFormat="false" ht="12.75" hidden="false" customHeight="false" outlineLevel="0" collapsed="false"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</row>
    <row r="94" customFormat="false" ht="12.75" hidden="false" customHeight="false" outlineLevel="0" collapsed="false"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</row>
    <row r="95" customFormat="false" ht="13.5" hidden="false" customHeight="false" outlineLevel="0" collapsed="false"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</row>
    <row r="96" customFormat="false" ht="13.5" hidden="false" customHeight="false" outlineLevel="0" collapsed="false"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</row>
    <row r="97" customFormat="false" ht="13.5" hidden="false" customHeight="false" outlineLevel="0" collapsed="false"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</row>
    <row r="98" customFormat="false" ht="13.5" hidden="false" customHeight="false" outlineLevel="0" collapsed="false"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</row>
    <row r="99" customFormat="false" ht="13.5" hidden="false" customHeight="false" outlineLevel="0" collapsed="false"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</row>
    <row r="100" customFormat="false" ht="13.5" hidden="false" customHeight="false" outlineLevel="0" collapsed="false"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</row>
    <row r="101" customFormat="false" ht="13.5" hidden="false" customHeight="false" outlineLevel="0" collapsed="false"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</row>
    <row r="102" customFormat="false" ht="13.5" hidden="false" customHeight="false" outlineLevel="0" collapsed="false"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</row>
    <row r="103" customFormat="false" ht="13.5" hidden="false" customHeight="false" outlineLevel="0" collapsed="false"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</row>
    <row r="104" customFormat="false" ht="13.5" hidden="false" customHeight="false" outlineLevel="0" collapsed="false"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</row>
    <row r="105" customFormat="false" ht="13.5" hidden="false" customHeight="false" outlineLevel="0" collapsed="false"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</row>
    <row r="106" customFormat="false" ht="13.5" hidden="false" customHeight="false" outlineLevel="0" collapsed="false"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</row>
    <row r="107" customFormat="false" ht="13.5" hidden="false" customHeight="false" outlineLevel="0" collapsed="false"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</row>
    <row r="108" customFormat="false" ht="13.5" hidden="false" customHeight="false" outlineLevel="0" collapsed="false"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</row>
    <row r="1048576" customFormat="false" ht="12.8" hidden="false" customHeight="false" outlineLevel="0" collapsed="false"/>
  </sheetData>
  <mergeCells count="30">
    <mergeCell ref="A1:A4"/>
    <mergeCell ref="B1:BB1"/>
    <mergeCell ref="B2:D2"/>
    <mergeCell ref="E2:M2"/>
    <mergeCell ref="O2:AE2"/>
    <mergeCell ref="AG2:AN2"/>
    <mergeCell ref="AP2:BB2"/>
    <mergeCell ref="B3:B4"/>
    <mergeCell ref="C3:C4"/>
    <mergeCell ref="D3:D4"/>
    <mergeCell ref="E3:F3"/>
    <mergeCell ref="G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Q3"/>
    <mergeCell ref="AR3:AS3"/>
    <mergeCell ref="AT3:AU3"/>
    <mergeCell ref="AV3:AW3"/>
    <mergeCell ref="AX3:AY3"/>
    <mergeCell ref="AZ3:BA3"/>
    <mergeCell ref="BB3:BC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048576"/>
  <sheetViews>
    <sheetView showFormulas="false" showGridLines="true" showRowColHeaders="true" showZeros="true" rightToLeft="false" tabSelected="false" showOutlineSymbols="true" defaultGridColor="true" view="normal" topLeftCell="A10" colorId="64" zoomScale="82" zoomScaleNormal="82" zoomScalePageLayoutView="100" workbookViewId="0">
      <selection pane="topLeft" activeCell="T32" activeCellId="0" sqref="T32"/>
    </sheetView>
  </sheetViews>
  <sheetFormatPr defaultColWidth="8.921875" defaultRowHeight="12" zeroHeight="false" outlineLevelRow="0" outlineLevelCol="0"/>
  <cols>
    <col min="1" max="1" customWidth="true" hidden="false" style="107" width="24.09" collapsed="false" outlineLevel="0"/>
    <col min="2" max="22" customWidth="true" hidden="false" style="107" width="15.36" collapsed="false" outlineLevel="0"/>
    <col min="23" max="23" customWidth="true" hidden="false" style="107" width="13.55" collapsed="false" outlineLevel="0"/>
    <col min="24" max="24" customWidth="true" hidden="false" style="107" width="18.63" collapsed="false" outlineLevel="0"/>
    <col min="25" max="25" customWidth="true" hidden="false" style="107" width="14.36" collapsed="false" outlineLevel="0"/>
    <col min="26" max="26" customWidth="true" hidden="false" style="107" width="13.09" collapsed="false" outlineLevel="0"/>
    <col min="27" max="27" customWidth="true" hidden="false" style="107" width="12.44" collapsed="false" outlineLevel="0"/>
    <col min="28" max="28" customWidth="true" hidden="false" style="107" width="13.09" collapsed="false" outlineLevel="0"/>
    <col min="29" max="29" customWidth="true" hidden="false" style="107" width="12.56" collapsed="false" outlineLevel="0"/>
    <col min="30" max="30" customWidth="true" hidden="false" style="107" width="13.09" collapsed="false" outlineLevel="0"/>
    <col min="31" max="31" customWidth="true" hidden="false" style="107" width="10.46" collapsed="false" outlineLevel="0"/>
    <col min="32" max="32" customWidth="true" hidden="false" style="107" width="16.36" collapsed="false" outlineLevel="0"/>
    <col min="33" max="33" customWidth="true" hidden="false" style="107" width="7.09" collapsed="false" outlineLevel="0"/>
    <col min="34" max="34" customWidth="true" hidden="false" style="107" width="13.09" collapsed="false" outlineLevel="0"/>
    <col min="35" max="35" customWidth="true" hidden="false" style="107" width="11.38" collapsed="false" outlineLevel="0"/>
    <col min="36" max="36" customWidth="true" hidden="false" style="107" width="13.09" collapsed="false" outlineLevel="0"/>
    <col min="37" max="37" customWidth="true" hidden="false" style="107" width="5.09" collapsed="false" outlineLevel="0"/>
    <col min="38" max="1024" customWidth="false" hidden="false" style="107" width="8.91" collapsed="false" outlineLevel="0"/>
  </cols>
  <sheetData>
    <row r="1" customFormat="false" ht="28.5" hidden="false" customHeight="true" outlineLevel="0" collapsed="false">
      <c r="A1" s="108" t="s">
        <v>29</v>
      </c>
      <c r="B1" s="109" t="s">
        <v>1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</row>
    <row r="2" customFormat="false" ht="12.75" hidden="false" customHeight="true" outlineLevel="0" collapsed="false">
      <c r="A2" s="108"/>
      <c r="B2" s="110" t="s">
        <v>30</v>
      </c>
      <c r="C2" s="110"/>
      <c r="D2" s="110"/>
      <c r="E2" s="110"/>
      <c r="F2" s="110"/>
      <c r="G2" s="111" t="s">
        <v>31</v>
      </c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</row>
    <row r="3" customFormat="false" ht="12.75" hidden="false" customHeight="true" outlineLevel="0" collapsed="false">
      <c r="A3" s="108"/>
      <c r="B3" s="110" t="s">
        <v>32</v>
      </c>
      <c r="C3" s="110"/>
      <c r="D3" s="110"/>
      <c r="E3" s="110"/>
      <c r="F3" s="110"/>
      <c r="G3" s="110" t="s">
        <v>33</v>
      </c>
      <c r="H3" s="110"/>
      <c r="I3" s="110" t="s">
        <v>34</v>
      </c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</row>
    <row r="4" customFormat="false" ht="12.75" hidden="false" customHeight="true" outlineLevel="0" collapsed="false">
      <c r="A4" s="108"/>
      <c r="B4" s="110"/>
      <c r="C4" s="110"/>
      <c r="D4" s="110"/>
      <c r="E4" s="110"/>
      <c r="F4" s="110"/>
      <c r="G4" s="110"/>
      <c r="H4" s="110"/>
      <c r="I4" s="110" t="str">
        <f aca="true">"10-year unemployment rate  ("&amp;  YEAR(TODAY())-11  &amp; "-" &amp;  YEAR(TODAY())-1 &amp; ")"</f>
        <v>10-year unemployment rate  (2014-2024)</v>
      </c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</row>
    <row r="5" customFormat="false" ht="13.65" hidden="false" customHeight="false" outlineLevel="0" collapsed="false">
      <c r="A5" s="108"/>
      <c r="B5" s="110" t="s">
        <v>35</v>
      </c>
      <c r="C5" s="110" t="s">
        <v>36</v>
      </c>
      <c r="D5" s="110" t="s">
        <v>37</v>
      </c>
      <c r="E5" s="110" t="s">
        <v>38</v>
      </c>
      <c r="F5" s="110" t="s">
        <v>39</v>
      </c>
      <c r="G5" s="110" t="s">
        <v>40</v>
      </c>
      <c r="H5" s="110" t="s">
        <v>41</v>
      </c>
      <c r="I5" s="110" t="n">
        <f aca="true">YEAR(TODAY())-11</f>
        <v>2014</v>
      </c>
      <c r="J5" s="110" t="n">
        <f aca="true">YEAR(TODAY())-10</f>
        <v>2015</v>
      </c>
      <c r="K5" s="110" t="n">
        <f aca="true">YEAR(TODAY())-9</f>
        <v>2016</v>
      </c>
      <c r="L5" s="110" t="n">
        <f aca="true">YEAR(TODAY())-8</f>
        <v>2017</v>
      </c>
      <c r="M5" s="110" t="n">
        <f aca="true">YEAR(TODAY())-7</f>
        <v>2018</v>
      </c>
      <c r="N5" s="110" t="n">
        <f aca="true">YEAR(TODAY())-6</f>
        <v>2019</v>
      </c>
      <c r="O5" s="110" t="n">
        <f aca="true">YEAR(TODAY())-5</f>
        <v>2020</v>
      </c>
      <c r="P5" s="110" t="n">
        <f aca="true">YEAR(TODAY())-4</f>
        <v>2021</v>
      </c>
      <c r="Q5" s="110" t="n">
        <f aca="true">YEAR(TODAY())-3</f>
        <v>2022</v>
      </c>
      <c r="R5" s="110" t="n">
        <f aca="true">YEAR(TODAY())-2</f>
        <v>2023</v>
      </c>
      <c r="S5" s="110" t="n">
        <f aca="true">YEAR(TODAY())-1</f>
        <v>2024</v>
      </c>
      <c r="T5" s="110" t="s">
        <v>42</v>
      </c>
      <c r="U5" s="110" t="s">
        <v>43</v>
      </c>
      <c r="V5" s="110" t="s">
        <v>44</v>
      </c>
    </row>
    <row r="6" s="114" customFormat="true" ht="17.35" hidden="false" customHeight="false" outlineLevel="0" collapsed="false">
      <c r="A6" s="1208" t="s">
        <v>89</v>
      </c>
      <c r="B6" s="1216" t="n">
        <v>13.7</v>
      </c>
      <c r="C6" s="1224" t="n">
        <v>11.6</v>
      </c>
      <c r="D6" s="1232" t="n">
        <v>41.0</v>
      </c>
      <c r="E6" s="1240" t="n">
        <v>13.8</v>
      </c>
      <c r="F6" s="1248" t="n">
        <v>19.9</v>
      </c>
      <c r="G6" s="1256" t="n">
        <v>80.1</v>
      </c>
      <c r="H6" s="1264" t="n">
        <v>2335479.0</v>
      </c>
      <c r="I6" s="1272" t="n">
        <v>6.2</v>
      </c>
      <c r="J6" s="1280" t="n">
        <v>6.2</v>
      </c>
      <c r="K6" s="1288" t="n">
        <v>6.1</v>
      </c>
      <c r="L6" s="1296" t="n">
        <v>5.3</v>
      </c>
      <c r="M6" s="1304" t="n">
        <v>4.6</v>
      </c>
      <c r="N6" s="1312" t="n">
        <v>4.8</v>
      </c>
      <c r="O6" s="1320" t="n">
        <v>9.1</v>
      </c>
      <c r="P6" s="1328" t="n">
        <v>6.6</v>
      </c>
      <c r="Q6" s="1336" t="n">
        <v>4.6</v>
      </c>
      <c r="R6" s="1344" t="n">
        <v>5.2</v>
      </c>
      <c r="S6" s="1352" t="n">
        <v>5.6</v>
      </c>
      <c r="T6" s="1360" t="n">
        <v>4.6</v>
      </c>
      <c r="U6" s="1368" t="n">
        <v>9.1</v>
      </c>
      <c r="V6" s="1376" t="n">
        <v>5.9</v>
      </c>
      <c r="X6" s="115"/>
      <c r="AK6" s="116"/>
      <c r="AL6" s="117"/>
    </row>
    <row r="7" s="114" customFormat="true" ht="13.8" hidden="false" customHeight="false" outlineLevel="0" collapsed="false">
      <c r="A7" s="1209" t="s">
        <v>90</v>
      </c>
      <c r="B7" s="1217" t="n">
        <v>15.7</v>
      </c>
      <c r="C7" s="1225" t="n">
        <v>11.7</v>
      </c>
      <c r="D7" s="1233" t="n">
        <v>38.0</v>
      </c>
      <c r="E7" s="1241" t="n">
        <v>14.8</v>
      </c>
      <c r="F7" s="1249" t="n">
        <v>19.7</v>
      </c>
      <c r="G7" s="1257" t="n">
        <v>81.9</v>
      </c>
      <c r="H7" s="1265" t="n">
        <v>68479.0</v>
      </c>
      <c r="I7" s="1273" t="n">
        <v>5.8</v>
      </c>
      <c r="J7" s="1281" t="n">
        <v>7.0</v>
      </c>
      <c r="K7" s="1289" t="n">
        <v>7.5</v>
      </c>
      <c r="L7" s="1297" t="n">
        <v>7.6</v>
      </c>
      <c r="M7" s="1305" t="n">
        <v>5.9</v>
      </c>
      <c r="N7" s="1313" t="n">
        <v>6.6</v>
      </c>
      <c r="O7" s="1321" t="n">
        <v>10.2</v>
      </c>
      <c r="P7" s="1329" t="n">
        <v>6.4</v>
      </c>
      <c r="Q7" s="1337" t="n">
        <v>5.1</v>
      </c>
      <c r="R7" s="1345" t="n">
        <v>6.9</v>
      </c>
      <c r="S7" s="1353" t="n">
        <v>5.5</v>
      </c>
      <c r="T7" s="1361" t="n">
        <v>5.1</v>
      </c>
      <c r="U7" s="1369" t="n">
        <v>10.2</v>
      </c>
      <c r="V7" s="1377" t="n">
        <v>6.8</v>
      </c>
      <c r="X7" s="115"/>
      <c r="AK7" s="116"/>
    </row>
    <row r="8" s="114" customFormat="true" ht="13.8" hidden="false" customHeight="false" outlineLevel="0" collapsed="false">
      <c r="A8" s="1210" t="s">
        <v>91</v>
      </c>
      <c r="B8" s="1218" t="n">
        <v>13.9</v>
      </c>
      <c r="C8" s="1226" t="n">
        <v>9.9</v>
      </c>
      <c r="D8" s="1234" t="n">
        <v>35.5</v>
      </c>
      <c r="E8" s="1242" t="n">
        <v>15.5</v>
      </c>
      <c r="F8" s="1250" t="n">
        <v>25.1</v>
      </c>
      <c r="G8" s="1258" t="n">
        <v>78.3</v>
      </c>
      <c r="H8" s="1266" t="n">
        <v>67792.0</v>
      </c>
      <c r="I8" s="1274" t="n">
        <v>7.0</v>
      </c>
      <c r="J8" s="1282" t="n">
        <v>8.8</v>
      </c>
      <c r="K8" s="1290" t="n">
        <v>8.5</v>
      </c>
      <c r="L8" s="1298" t="n">
        <v>7.7</v>
      </c>
      <c r="M8" s="1306" t="n">
        <v>5.8</v>
      </c>
      <c r="N8" s="1314" t="n">
        <v>5.2</v>
      </c>
      <c r="O8" s="1322" t="n">
        <v>9.9</v>
      </c>
      <c r="P8" s="1330" t="n">
        <v>6.0</v>
      </c>
      <c r="Q8" s="1338" t="n">
        <v>4.4</v>
      </c>
      <c r="R8" s="1346" t="n">
        <v>5.3</v>
      </c>
      <c r="S8" s="1354" t="n">
        <v>5.5</v>
      </c>
      <c r="T8" s="1362" t="n">
        <v>4.4</v>
      </c>
      <c r="U8" s="1370" t="n">
        <v>9.9</v>
      </c>
      <c r="V8" s="1378" t="n">
        <v>6.7</v>
      </c>
      <c r="X8" s="115"/>
      <c r="AK8" s="116"/>
    </row>
    <row r="9" s="114" customFormat="true" ht="13.8" hidden="false" customHeight="false" outlineLevel="0" collapsed="false">
      <c r="A9" s="1211" t="s">
        <v>92</v>
      </c>
      <c r="B9" s="1219" t="n">
        <v>13.7</v>
      </c>
      <c r="C9" s="1227" t="n">
        <v>12.3</v>
      </c>
      <c r="D9" s="1235" t="n">
        <v>43.6</v>
      </c>
      <c r="E9" s="1243" t="n">
        <v>13.1</v>
      </c>
      <c r="F9" s="1251" t="n">
        <v>17.3</v>
      </c>
      <c r="G9" s="1259" t="n">
        <v>81.3</v>
      </c>
      <c r="H9" s="1267" t="n">
        <v>1537688.0</v>
      </c>
      <c r="I9" s="1275" t="n">
        <v>6.1</v>
      </c>
      <c r="J9" s="1283" t="n">
        <v>5.9</v>
      </c>
      <c r="K9" s="1291" t="n">
        <v>5.6</v>
      </c>
      <c r="L9" s="1299" t="n">
        <v>4.7</v>
      </c>
      <c r="M9" s="1307" t="n">
        <v>4.1</v>
      </c>
      <c r="N9" s="1315" t="n">
        <v>4.7</v>
      </c>
      <c r="O9" s="1323" t="n">
        <v>9.2</v>
      </c>
      <c r="P9" s="1331" t="n">
        <v>6.8</v>
      </c>
      <c r="Q9" s="1339" t="n">
        <v>4.7</v>
      </c>
      <c r="R9" s="1347" t="n">
        <v>5.5</v>
      </c>
      <c r="S9" s="1355" t="n">
        <v>5.9</v>
      </c>
      <c r="T9" s="1363" t="n">
        <v>4.1</v>
      </c>
      <c r="U9" s="1371" t="n">
        <v>9.2</v>
      </c>
      <c r="V9" s="1379" t="n">
        <v>5.7</v>
      </c>
      <c r="X9" s="115"/>
      <c r="AK9" s="116"/>
    </row>
    <row r="10" s="114" customFormat="true" ht="13.8" hidden="false" customHeight="false" outlineLevel="0" collapsed="false">
      <c r="A10" s="1212" t="s">
        <v>93</v>
      </c>
      <c r="B10" s="1220" t="n">
        <v>17.6</v>
      </c>
      <c r="C10" s="1228" t="n">
        <v>12.2</v>
      </c>
      <c r="D10" s="1236" t="n">
        <v>37.9</v>
      </c>
      <c r="E10" s="1244" t="n">
        <v>14.6</v>
      </c>
      <c r="F10" s="1252" t="n">
        <v>17.7</v>
      </c>
      <c r="G10" s="1260" t="n">
        <v>82.7</v>
      </c>
      <c r="H10" s="1268" t="n">
        <v>37833.0</v>
      </c>
      <c r="I10" s="1276" t="n">
        <v>7.9</v>
      </c>
      <c r="J10" s="1284" t="n">
        <v>7.1</v>
      </c>
      <c r="K10" s="1292" t="n">
        <v>7.7</v>
      </c>
      <c r="L10" s="1300" t="n">
        <v>6.1</v>
      </c>
      <c r="M10" s="1308" t="n">
        <v>6.4</v>
      </c>
      <c r="N10" s="1316" t="n">
        <v>4.6</v>
      </c>
      <c r="O10" s="1324" t="n">
        <v>8.5</v>
      </c>
      <c r="P10" s="1332" t="n">
        <v>7.5</v>
      </c>
      <c r="Q10" s="1340" t="n">
        <v>4.5</v>
      </c>
      <c r="R10" s="1348" t="n">
        <v>6.4</v>
      </c>
      <c r="S10" s="1356" t="n">
        <v>6.1</v>
      </c>
      <c r="T10" s="1364" t="n">
        <v>4.5</v>
      </c>
      <c r="U10" s="1372" t="n">
        <v>8.5</v>
      </c>
      <c r="V10" s="1380" t="n">
        <v>6.6</v>
      </c>
      <c r="X10" s="115"/>
      <c r="AK10" s="116"/>
    </row>
    <row r="11" s="114" customFormat="true" ht="13.8" hidden="false" customHeight="false" outlineLevel="0" collapsed="false">
      <c r="A11" s="1213" t="s">
        <v>94</v>
      </c>
      <c r="B11" s="1221" t="n">
        <v>20.7</v>
      </c>
      <c r="C11" s="1229" t="n">
        <v>12.6</v>
      </c>
      <c r="D11" s="1237" t="n">
        <v>42.1</v>
      </c>
      <c r="E11" s="1245" t="n">
        <v>12.1</v>
      </c>
      <c r="F11" s="1253" t="n">
        <v>12.5</v>
      </c>
      <c r="G11" s="1261" t="n">
        <v>84.2</v>
      </c>
      <c r="H11" s="1269" t="n">
        <v>29854.0</v>
      </c>
      <c r="I11" s="1277" t="n">
        <v>5.1</v>
      </c>
      <c r="J11" s="1285" t="n">
        <v>5.9</v>
      </c>
      <c r="K11" s="1293" t="n">
        <v>10.0</v>
      </c>
      <c r="L11" s="1301" t="n">
        <v>6.9</v>
      </c>
      <c r="M11" s="1309" t="n">
        <v>6.0</v>
      </c>
      <c r="N11" s="1317" t="n">
        <v>6.5</v>
      </c>
      <c r="O11" s="1325" t="n">
        <v>7.0</v>
      </c>
      <c r="P11" s="1333" t="n">
        <v>4.3</v>
      </c>
      <c r="Q11" s="1341" t="n">
        <v>3.5</v>
      </c>
      <c r="R11" s="1349" t="n">
        <v>5.1</v>
      </c>
      <c r="S11" s="1357" t="n">
        <v>5.9</v>
      </c>
      <c r="T11" s="1365" t="n">
        <v>3.5</v>
      </c>
      <c r="U11" s="1373" t="n">
        <v>10.0</v>
      </c>
      <c r="V11" s="1381" t="n">
        <v>6.0</v>
      </c>
      <c r="X11" s="115"/>
      <c r="AK11" s="116"/>
    </row>
    <row r="12" s="114" customFormat="true" ht="13.8" hidden="false" customHeight="false" outlineLevel="0" collapsed="false">
      <c r="A12" s="1214" t="s">
        <v>95</v>
      </c>
      <c r="B12" s="1222" t="n">
        <v>13.3</v>
      </c>
      <c r="C12" s="1230" t="n">
        <v>10.6</v>
      </c>
      <c r="D12" s="1238" t="n">
        <v>36.1</v>
      </c>
      <c r="E12" s="1246" t="n">
        <v>15.2</v>
      </c>
      <c r="F12" s="1254" t="n">
        <v>24.7</v>
      </c>
      <c r="G12" s="1262" t="n">
        <v>76.7</v>
      </c>
      <c r="H12" s="1270" t="n">
        <v>231854.0</v>
      </c>
      <c r="I12" s="1278" t="n">
        <v>6.7</v>
      </c>
      <c r="J12" s="1286" t="n">
        <v>6.6</v>
      </c>
      <c r="K12" s="1294" t="n">
        <v>7.7</v>
      </c>
      <c r="L12" s="1302" t="n">
        <v>7.5</v>
      </c>
      <c r="M12" s="1310" t="n">
        <v>6.4</v>
      </c>
      <c r="N12" s="1318" t="n">
        <v>5.2</v>
      </c>
      <c r="O12" s="1326" t="n">
        <v>8.7</v>
      </c>
      <c r="P12" s="1334" t="n">
        <v>6.4</v>
      </c>
      <c r="Q12" s="1342" t="n">
        <v>5.3</v>
      </c>
      <c r="R12" s="1350" t="n">
        <v>4.2</v>
      </c>
      <c r="S12" s="1358" t="n">
        <v>5.5</v>
      </c>
      <c r="T12" s="1366" t="n">
        <v>4.2</v>
      </c>
      <c r="U12" s="1374" t="n">
        <v>8.7</v>
      </c>
      <c r="V12" s="1382" t="n">
        <v>6.4</v>
      </c>
      <c r="X12" s="115"/>
      <c r="AK12" s="116"/>
    </row>
    <row r="13" s="114" customFormat="true" ht="13.8" hidden="false" customHeight="false" outlineLevel="0" collapsed="false">
      <c r="A13" s="1215" t="s">
        <v>96</v>
      </c>
      <c r="B13" s="1223" t="n">
        <v>12.7</v>
      </c>
      <c r="C13" s="1231" t="n">
        <v>9.9</v>
      </c>
      <c r="D13" s="1239" t="n">
        <v>36.9</v>
      </c>
      <c r="E13" s="1247" t="n">
        <v>14.9</v>
      </c>
      <c r="F13" s="1255" t="n">
        <v>25.6</v>
      </c>
      <c r="G13" s="1263" t="n">
        <v>77.1</v>
      </c>
      <c r="H13" s="1271" t="n">
        <v>361979.0</v>
      </c>
      <c r="I13" s="1279" t="n">
        <v>6.4</v>
      </c>
      <c r="J13" s="1287" t="n">
        <v>6.3</v>
      </c>
      <c r="K13" s="1295" t="n">
        <v>5.8</v>
      </c>
      <c r="L13" s="1303" t="n">
        <v>5.1</v>
      </c>
      <c r="M13" s="1311" t="n">
        <v>4.7</v>
      </c>
      <c r="N13" s="1319" t="n">
        <v>4.4</v>
      </c>
      <c r="O13" s="1327" t="n">
        <v>8.9</v>
      </c>
      <c r="P13" s="1335" t="n">
        <v>5.9</v>
      </c>
      <c r="Q13" s="1343" t="n">
        <v>4.1</v>
      </c>
      <c r="R13" s="1351" t="n">
        <v>4.2</v>
      </c>
      <c r="S13" s="1359" t="n">
        <v>4.3</v>
      </c>
      <c r="T13" s="1367" t="n">
        <v>4.1</v>
      </c>
      <c r="U13" s="1375" t="n">
        <v>8.9</v>
      </c>
      <c r="V13" s="1383" t="n">
        <v>5.5</v>
      </c>
      <c r="X13" s="115"/>
      <c r="AK13" s="116"/>
    </row>
    <row r="14" customFormat="false" ht="19.7" hidden="false" customHeight="false" outlineLevel="0" collapsed="false">
      <c r="A14" s="88"/>
    </row>
    <row r="15" customFormat="false" ht="19.7" hidden="false" customHeight="false" outlineLevel="0" collapsed="false">
      <c r="A15" s="93"/>
      <c r="I15" s="133"/>
      <c r="AI15" s="134"/>
      <c r="AJ15" s="134"/>
    </row>
    <row r="16" customFormat="false" ht="12.75" hidden="false" customHeight="true" outlineLevel="0" collapsed="false">
      <c r="A16" s="108" t="s">
        <v>29</v>
      </c>
      <c r="B16" s="135" t="s">
        <v>45</v>
      </c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</row>
    <row r="17" customFormat="false" ht="12.75" hidden="false" customHeight="true" outlineLevel="0" collapsed="false">
      <c r="A17" s="108"/>
      <c r="B17" s="110" t="s">
        <v>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</row>
    <row r="18" customFormat="false" ht="14.25" hidden="false" customHeight="true" outlineLevel="0" collapsed="false">
      <c r="A18" s="108"/>
      <c r="B18" s="136" t="s">
        <v>46</v>
      </c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7"/>
      <c r="AZ18" s="134"/>
    </row>
    <row r="19" customFormat="false" ht="73.5" hidden="false" customHeight="true" outlineLevel="0" collapsed="false">
      <c r="A19" s="108"/>
      <c r="B19" s="138" t="s">
        <v>47</v>
      </c>
      <c r="C19" s="138"/>
      <c r="D19" s="138" t="s">
        <v>48</v>
      </c>
      <c r="E19" s="138"/>
      <c r="F19" s="138" t="s">
        <v>49</v>
      </c>
      <c r="G19" s="138"/>
      <c r="H19" s="138" t="s">
        <v>50</v>
      </c>
      <c r="I19" s="138"/>
      <c r="J19" s="138" t="s">
        <v>51</v>
      </c>
      <c r="K19" s="138"/>
      <c r="L19" s="138" t="s">
        <v>52</v>
      </c>
      <c r="M19" s="138"/>
      <c r="N19" s="138" t="s">
        <v>53</v>
      </c>
      <c r="O19" s="138"/>
      <c r="P19" s="138" t="s">
        <v>54</v>
      </c>
      <c r="Q19" s="138"/>
      <c r="R19" s="138" t="s">
        <v>55</v>
      </c>
      <c r="S19" s="138"/>
      <c r="T19" s="138" t="s">
        <v>56</v>
      </c>
      <c r="U19" s="138"/>
      <c r="V19" s="138" t="s">
        <v>57</v>
      </c>
      <c r="W19" s="138"/>
      <c r="X19" s="138" t="s">
        <v>58</v>
      </c>
      <c r="Y19" s="138"/>
      <c r="Z19" s="138" t="s">
        <v>59</v>
      </c>
      <c r="AA19" s="138"/>
      <c r="AB19" s="139" t="s">
        <v>60</v>
      </c>
      <c r="AC19" s="139"/>
      <c r="AD19" s="138" t="s">
        <v>61</v>
      </c>
      <c r="AE19" s="138"/>
      <c r="AF19" s="138" t="s">
        <v>62</v>
      </c>
      <c r="AG19" s="138"/>
      <c r="AH19" s="138" t="s">
        <v>63</v>
      </c>
      <c r="AI19" s="138"/>
      <c r="AJ19" s="138" t="s">
        <v>64</v>
      </c>
      <c r="AK19" s="138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7"/>
      <c r="AZ19" s="134"/>
    </row>
    <row r="20" customFormat="false" ht="18.75" hidden="false" customHeight="true" outlineLevel="0" collapsed="false">
      <c r="A20" s="140"/>
      <c r="B20" s="141" t="s">
        <v>65</v>
      </c>
      <c r="C20" s="141" t="s">
        <v>40</v>
      </c>
      <c r="D20" s="141" t="s">
        <v>65</v>
      </c>
      <c r="E20" s="141" t="s">
        <v>40</v>
      </c>
      <c r="F20" s="141" t="s">
        <v>65</v>
      </c>
      <c r="G20" s="141" t="s">
        <v>40</v>
      </c>
      <c r="H20" s="141" t="s">
        <v>65</v>
      </c>
      <c r="I20" s="141" t="s">
        <v>40</v>
      </c>
      <c r="J20" s="141" t="s">
        <v>65</v>
      </c>
      <c r="K20" s="141" t="s">
        <v>40</v>
      </c>
      <c r="L20" s="141" t="s">
        <v>65</v>
      </c>
      <c r="M20" s="141" t="s">
        <v>40</v>
      </c>
      <c r="N20" s="141" t="s">
        <v>65</v>
      </c>
      <c r="O20" s="141" t="s">
        <v>40</v>
      </c>
      <c r="P20" s="141" t="s">
        <v>65</v>
      </c>
      <c r="Q20" s="141" t="s">
        <v>40</v>
      </c>
      <c r="R20" s="141" t="s">
        <v>65</v>
      </c>
      <c r="S20" s="141" t="s">
        <v>40</v>
      </c>
      <c r="T20" s="141" t="s">
        <v>65</v>
      </c>
      <c r="U20" s="141" t="s">
        <v>40</v>
      </c>
      <c r="V20" s="141" t="s">
        <v>65</v>
      </c>
      <c r="W20" s="141" t="s">
        <v>40</v>
      </c>
      <c r="X20" s="141" t="s">
        <v>65</v>
      </c>
      <c r="Y20" s="141" t="s">
        <v>40</v>
      </c>
      <c r="Z20" s="141" t="s">
        <v>65</v>
      </c>
      <c r="AA20" s="141" t="s">
        <v>40</v>
      </c>
      <c r="AB20" s="141" t="s">
        <v>65</v>
      </c>
      <c r="AC20" s="141" t="s">
        <v>40</v>
      </c>
      <c r="AD20" s="141" t="s">
        <v>65</v>
      </c>
      <c r="AE20" s="141" t="s">
        <v>40</v>
      </c>
      <c r="AF20" s="141" t="s">
        <v>65</v>
      </c>
      <c r="AG20" s="141" t="s">
        <v>40</v>
      </c>
      <c r="AH20" s="141" t="s">
        <v>65</v>
      </c>
      <c r="AI20" s="141" t="s">
        <v>40</v>
      </c>
      <c r="AJ20" s="141" t="s">
        <v>65</v>
      </c>
      <c r="AK20" s="141" t="s">
        <v>40</v>
      </c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7"/>
      <c r="AZ20" s="134"/>
    </row>
    <row r="21" customFormat="false" ht="17.35" hidden="false" customHeight="false" outlineLevel="0" collapsed="false">
      <c r="A21" s="1384" t="s">
        <v>89</v>
      </c>
      <c r="B21" s="1392" t="n">
        <v>186604.0</v>
      </c>
      <c r="C21" s="1400" t="n">
        <v>6.4</v>
      </c>
      <c r="D21" s="1408" t="n">
        <v>18479.0</v>
      </c>
      <c r="E21" s="1416" t="n">
        <v>0.6</v>
      </c>
      <c r="F21" s="1424" t="n">
        <v>94688.0</v>
      </c>
      <c r="G21" s="1432" t="n">
        <v>3.2</v>
      </c>
      <c r="H21" s="1440" t="n">
        <v>246812.0</v>
      </c>
      <c r="I21" s="1448" t="n">
        <v>8.5</v>
      </c>
      <c r="J21" s="1456" t="n">
        <v>219958.0</v>
      </c>
      <c r="K21" s="1464" t="n">
        <v>7.5</v>
      </c>
      <c r="L21" s="1472" t="n">
        <v>184042.0</v>
      </c>
      <c r="M21" s="1480" t="n">
        <v>6.3</v>
      </c>
      <c r="N21" s="1488" t="n">
        <v>14771.0</v>
      </c>
      <c r="O21" s="1496" t="n">
        <v>0.5</v>
      </c>
      <c r="P21" s="1504" t="n">
        <v>409979.0</v>
      </c>
      <c r="Q21" s="1512" t="n">
        <v>14.1</v>
      </c>
      <c r="R21" s="1520" t="n">
        <v>147625.0</v>
      </c>
      <c r="S21" s="1528" t="n">
        <v>5.1</v>
      </c>
      <c r="T21" s="1536" t="n">
        <v>178646.0</v>
      </c>
      <c r="U21" s="1544" t="n">
        <v>6.1</v>
      </c>
      <c r="V21" s="1552" t="n">
        <v>36854.0</v>
      </c>
      <c r="W21" s="1560" t="n">
        <v>1.3</v>
      </c>
      <c r="X21" s="1568" t="n">
        <v>300104.0</v>
      </c>
      <c r="Y21" s="1576" t="n">
        <v>10.3</v>
      </c>
      <c r="Z21" s="1584" t="n">
        <v>153771.0</v>
      </c>
      <c r="AA21" s="1592" t="n">
        <v>5.3</v>
      </c>
      <c r="AB21" s="1600" t="n">
        <v>119104.0</v>
      </c>
      <c r="AC21" s="1608" t="n">
        <v>4.1</v>
      </c>
      <c r="AD21" s="1616" t="n">
        <v>325521.0</v>
      </c>
      <c r="AE21" s="1624" t="n">
        <v>11.2</v>
      </c>
      <c r="AF21" s="1632" t="n">
        <v>156208.0</v>
      </c>
      <c r="AG21" s="1640" t="n">
        <v>5.4</v>
      </c>
      <c r="AH21" s="1648" t="n">
        <v>17896.0</v>
      </c>
      <c r="AI21" s="1656" t="n">
        <v>0.6</v>
      </c>
      <c r="AJ21" s="1664" t="n">
        <v>102979.0</v>
      </c>
      <c r="AK21" s="1672" t="n">
        <v>3.5</v>
      </c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</row>
    <row r="22" customFormat="false" ht="13.8" hidden="false" customHeight="false" outlineLevel="0" collapsed="false">
      <c r="A22" s="1385" t="s">
        <v>90</v>
      </c>
      <c r="B22" s="1393" t="n">
        <v>4917.0</v>
      </c>
      <c r="C22" s="1401" t="n">
        <v>5.9</v>
      </c>
      <c r="D22" s="1409" t="n">
        <v>562.0</v>
      </c>
      <c r="E22" s="1417" t="n">
        <v>0.7</v>
      </c>
      <c r="F22" s="1425" t="n">
        <v>1562.0</v>
      </c>
      <c r="G22" s="1433" t="n">
        <v>1.9</v>
      </c>
      <c r="H22" s="1441" t="n">
        <v>6688.0</v>
      </c>
      <c r="I22" s="1449" t="n">
        <v>8.0</v>
      </c>
      <c r="J22" s="1457" t="n">
        <v>7458.0</v>
      </c>
      <c r="K22" s="1465" t="n">
        <v>8.9</v>
      </c>
      <c r="L22" s="1473" t="n">
        <v>3271.0</v>
      </c>
      <c r="M22" s="1481" t="n">
        <v>3.9</v>
      </c>
      <c r="N22" s="1489" t="n">
        <v>2000.0</v>
      </c>
      <c r="O22" s="1497" t="n">
        <v>2.4</v>
      </c>
      <c r="P22" s="1505" t="n">
        <v>14771.0</v>
      </c>
      <c r="Q22" s="1513" t="n">
        <v>17.7</v>
      </c>
      <c r="R22" s="1521" t="n">
        <v>2083.0</v>
      </c>
      <c r="S22" s="1529" t="n">
        <v>2.5</v>
      </c>
      <c r="T22" s="1537" t="n">
        <v>8646.0</v>
      </c>
      <c r="U22" s="1545" t="n">
        <v>10.3</v>
      </c>
      <c r="V22" s="1553" t="n">
        <v>1979.0</v>
      </c>
      <c r="W22" s="1561" t="n">
        <v>2.4</v>
      </c>
      <c r="X22" s="1569" t="n">
        <v>3375.0</v>
      </c>
      <c r="Y22" s="1577" t="n">
        <v>4.0</v>
      </c>
      <c r="Z22" s="1585" t="n">
        <v>4521.0</v>
      </c>
      <c r="AA22" s="1593" t="n">
        <v>5.4</v>
      </c>
      <c r="AB22" s="1601" t="n">
        <v>3542.0</v>
      </c>
      <c r="AC22" s="1609" t="n">
        <v>4.2</v>
      </c>
      <c r="AD22" s="1617" t="n">
        <v>10396.0</v>
      </c>
      <c r="AE22" s="1625" t="n">
        <v>12.4</v>
      </c>
      <c r="AF22" s="1633" t="n">
        <v>4125.0</v>
      </c>
      <c r="AG22" s="1641" t="n">
        <v>4.9</v>
      </c>
      <c r="AH22" s="1649" t="n">
        <v>542.0</v>
      </c>
      <c r="AI22" s="1657" t="n">
        <v>0.6</v>
      </c>
      <c r="AJ22" s="1665" t="n">
        <v>3188.0</v>
      </c>
      <c r="AK22" s="1673" t="n">
        <v>3.8</v>
      </c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7"/>
      <c r="AZ22" s="134"/>
    </row>
    <row r="23" customFormat="false" ht="13.8" hidden="false" customHeight="false" outlineLevel="0" collapsed="false">
      <c r="A23" s="1386" t="s">
        <v>91</v>
      </c>
      <c r="B23" s="1394" t="n">
        <v>5708.0</v>
      </c>
      <c r="C23" s="1402" t="n">
        <v>6.6</v>
      </c>
      <c r="D23" s="1410" t="n">
        <v>562.0</v>
      </c>
      <c r="E23" s="1418" t="n">
        <v>0.6</v>
      </c>
      <c r="F23" s="1426" t="n">
        <v>2771.0</v>
      </c>
      <c r="G23" s="1434" t="n">
        <v>3.2</v>
      </c>
      <c r="H23" s="1442" t="n">
        <v>8250.0</v>
      </c>
      <c r="I23" s="1450" t="n">
        <v>9.5</v>
      </c>
      <c r="J23" s="1458" t="n">
        <v>5812.0</v>
      </c>
      <c r="K23" s="1466" t="n">
        <v>6.7</v>
      </c>
      <c r="L23" s="1474" t="n">
        <v>3396.0</v>
      </c>
      <c r="M23" s="1482" t="n">
        <v>3.9</v>
      </c>
      <c r="N23" s="1490" t="n">
        <v>1667.0</v>
      </c>
      <c r="O23" s="1498" t="n">
        <v>1.9</v>
      </c>
      <c r="P23" s="1506" t="n">
        <v>13146.0</v>
      </c>
      <c r="Q23" s="1514" t="n">
        <v>15.2</v>
      </c>
      <c r="R23" s="1522" t="n">
        <v>2875.0</v>
      </c>
      <c r="S23" s="1530" t="n">
        <v>3.3</v>
      </c>
      <c r="T23" s="1538" t="n">
        <v>5938.0</v>
      </c>
      <c r="U23" s="1546" t="n">
        <v>6.9</v>
      </c>
      <c r="V23" s="1554" t="n">
        <v>7104.0</v>
      </c>
      <c r="W23" s="1562" t="n">
        <v>8.2</v>
      </c>
      <c r="X23" s="1570" t="n">
        <v>4333.0</v>
      </c>
      <c r="Y23" s="1578" t="n">
        <v>5.0</v>
      </c>
      <c r="Z23" s="1586" t="n">
        <v>3500.0</v>
      </c>
      <c r="AA23" s="1594" t="n">
        <v>4.0</v>
      </c>
      <c r="AB23" s="1602" t="n">
        <v>3729.0</v>
      </c>
      <c r="AC23" s="1610" t="n">
        <v>4.3</v>
      </c>
      <c r="AD23" s="1618" t="n">
        <v>12708.0</v>
      </c>
      <c r="AE23" s="1626" t="n">
        <v>14.7</v>
      </c>
      <c r="AF23" s="1634" t="n">
        <v>2396.0</v>
      </c>
      <c r="AG23" s="1642" t="n">
        <v>2.8</v>
      </c>
      <c r="AH23" s="1650" t="n">
        <v>938.0</v>
      </c>
      <c r="AI23" s="1658" t="n">
        <v>1.1</v>
      </c>
      <c r="AJ23" s="1666" t="n">
        <v>1812.0</v>
      </c>
      <c r="AK23" s="1674" t="n">
        <v>2.1</v>
      </c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7"/>
      <c r="AZ23" s="134"/>
    </row>
    <row r="24" customFormat="false" ht="13.8" hidden="false" customHeight="false" outlineLevel="0" collapsed="false">
      <c r="A24" s="1387" t="s">
        <v>92</v>
      </c>
      <c r="B24" s="1395" t="n">
        <v>116521.0</v>
      </c>
      <c r="C24" s="1403" t="n">
        <v>6.2</v>
      </c>
      <c r="D24" s="1411" t="n">
        <v>9208.0</v>
      </c>
      <c r="E24" s="1419" t="n">
        <v>0.5</v>
      </c>
      <c r="F24" s="1427" t="n">
        <v>62354.0</v>
      </c>
      <c r="G24" s="1435" t="n">
        <v>3.3</v>
      </c>
      <c r="H24" s="1443" t="n">
        <v>152875.0</v>
      </c>
      <c r="I24" s="1451" t="n">
        <v>8.1</v>
      </c>
      <c r="J24" s="1459" t="n">
        <v>144667.0</v>
      </c>
      <c r="K24" s="1467" t="n">
        <v>7.6</v>
      </c>
      <c r="L24" s="1475" t="n">
        <v>138333.0</v>
      </c>
      <c r="M24" s="1483" t="n">
        <v>7.3</v>
      </c>
      <c r="N24" s="1491" t="n">
        <v>2438.0</v>
      </c>
      <c r="O24" s="1499" t="n">
        <v>0.1</v>
      </c>
      <c r="P24" s="1507" t="n">
        <v>243312.0</v>
      </c>
      <c r="Q24" s="1515" t="n">
        <v>12.9</v>
      </c>
      <c r="R24" s="1523" t="n">
        <v>104083.0</v>
      </c>
      <c r="S24" s="1531" t="n">
        <v>5.5</v>
      </c>
      <c r="T24" s="1539" t="n">
        <v>119000.0</v>
      </c>
      <c r="U24" s="1547" t="n">
        <v>6.3</v>
      </c>
      <c r="V24" s="1555" t="n">
        <v>7750.0</v>
      </c>
      <c r="W24" s="1563" t="n">
        <v>0.4</v>
      </c>
      <c r="X24" s="1571" t="n">
        <v>224667.0</v>
      </c>
      <c r="Y24" s="1579" t="n">
        <v>11.9</v>
      </c>
      <c r="Z24" s="1587" t="n">
        <v>85833.0</v>
      </c>
      <c r="AA24" s="1595" t="n">
        <v>4.5</v>
      </c>
      <c r="AB24" s="1603" t="n">
        <v>74062.0</v>
      </c>
      <c r="AC24" s="1611" t="n">
        <v>3.9</v>
      </c>
      <c r="AD24" s="1619" t="n">
        <v>206625.0</v>
      </c>
      <c r="AE24" s="1627" t="n">
        <v>10.9</v>
      </c>
      <c r="AF24" s="1635" t="n">
        <v>111583.0</v>
      </c>
      <c r="AG24" s="1643" t="n">
        <v>5.9</v>
      </c>
      <c r="AH24" s="1651" t="n">
        <v>10708.0</v>
      </c>
      <c r="AI24" s="1659" t="n">
        <v>0.6</v>
      </c>
      <c r="AJ24" s="1667" t="n">
        <v>77104.0</v>
      </c>
      <c r="AK24" s="1675" t="n">
        <v>4.1</v>
      </c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7"/>
      <c r="AZ24" s="134"/>
    </row>
    <row r="25" customFormat="false" ht="13.8" hidden="false" customHeight="false" outlineLevel="0" collapsed="false">
      <c r="A25" s="1388" t="s">
        <v>93</v>
      </c>
      <c r="B25" s="1396" t="n">
        <v>1750.0</v>
      </c>
      <c r="C25" s="1404" t="n">
        <v>3.8</v>
      </c>
      <c r="D25" s="1412" t="n">
        <v>667.0</v>
      </c>
      <c r="E25" s="1420" t="n">
        <v>1.5</v>
      </c>
      <c r="F25" s="1428" t="n">
        <v>1271.0</v>
      </c>
      <c r="G25" s="1436" t="n">
        <v>2.8</v>
      </c>
      <c r="H25" s="1444" t="n">
        <v>4875.0</v>
      </c>
      <c r="I25" s="1452" t="n">
        <v>10.7</v>
      </c>
      <c r="J25" s="1460" t="n">
        <v>3583.0</v>
      </c>
      <c r="K25" s="1468" t="n">
        <v>7.8</v>
      </c>
      <c r="L25" s="1476" t="n">
        <v>1042.0</v>
      </c>
      <c r="M25" s="1484" t="n">
        <v>2.3</v>
      </c>
      <c r="N25" s="1492" t="n">
        <v>1333.0</v>
      </c>
      <c r="O25" s="1500" t="n">
        <v>2.9</v>
      </c>
      <c r="P25" s="1508" t="n">
        <v>6104.0</v>
      </c>
      <c r="Q25" s="1516" t="n">
        <v>13.3</v>
      </c>
      <c r="R25" s="1524" t="n">
        <v>1188.0</v>
      </c>
      <c r="S25" s="1532" t="n">
        <v>2.6</v>
      </c>
      <c r="T25" s="1540" t="n">
        <v>2729.0</v>
      </c>
      <c r="U25" s="1548" t="n">
        <v>6.0</v>
      </c>
      <c r="V25" s="1556" t="n">
        <v>2229.0</v>
      </c>
      <c r="W25" s="1564" t="n">
        <v>4.9</v>
      </c>
      <c r="X25" s="1572" t="n">
        <v>2333.0</v>
      </c>
      <c r="Y25" s="1580" t="n">
        <v>5.1</v>
      </c>
      <c r="Z25" s="1588" t="n">
        <v>2917.0</v>
      </c>
      <c r="AA25" s="1596" t="n">
        <v>6.4</v>
      </c>
      <c r="AB25" s="1604" t="n">
        <v>2104.0</v>
      </c>
      <c r="AC25" s="1612" t="n">
        <v>4.6</v>
      </c>
      <c r="AD25" s="1620" t="n">
        <v>4729.0</v>
      </c>
      <c r="AE25" s="1628" t="n">
        <v>10.3</v>
      </c>
      <c r="AF25" s="1636" t="n">
        <v>5542.0</v>
      </c>
      <c r="AG25" s="1644" t="n">
        <v>12.1</v>
      </c>
      <c r="AH25" s="1652" t="n">
        <v>479.0</v>
      </c>
      <c r="AI25" s="1660" t="n">
        <v>1.0</v>
      </c>
      <c r="AJ25" s="1668" t="n">
        <v>875.0</v>
      </c>
      <c r="AK25" s="1676" t="n">
        <v>1.9</v>
      </c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</row>
    <row r="26" customFormat="false" ht="13.8" hidden="false" customHeight="false" outlineLevel="0" collapsed="false">
      <c r="A26" s="1389" t="s">
        <v>94</v>
      </c>
      <c r="B26" s="1397" t="n">
        <v>1938.0</v>
      </c>
      <c r="C26" s="1405" t="n">
        <v>5.5</v>
      </c>
      <c r="D26" s="1413" t="n">
        <v>167.0</v>
      </c>
      <c r="E26" s="1421" t="n">
        <v>0.5</v>
      </c>
      <c r="F26" s="1429" t="n">
        <v>958.0</v>
      </c>
      <c r="G26" s="1437" t="n">
        <v>2.7</v>
      </c>
      <c r="H26" s="1445" t="n">
        <v>4188.0</v>
      </c>
      <c r="I26" s="1453" t="n">
        <v>11.8</v>
      </c>
      <c r="J26" s="1461" t="n">
        <v>2062.0</v>
      </c>
      <c r="K26" s="1469" t="n">
        <v>5.8</v>
      </c>
      <c r="L26" s="1477" t="n">
        <v>1854.0</v>
      </c>
      <c r="M26" s="1485" t="n">
        <v>5.2</v>
      </c>
      <c r="N26" s="1493" t="n">
        <v>771.0</v>
      </c>
      <c r="O26" s="1501" t="n">
        <v>2.2</v>
      </c>
      <c r="P26" s="1509" t="n">
        <v>3917.0</v>
      </c>
      <c r="Q26" s="1517" t="n">
        <v>11.1</v>
      </c>
      <c r="R26" s="1525" t="n">
        <v>771.0</v>
      </c>
      <c r="S26" s="1533" t="n">
        <v>2.2</v>
      </c>
      <c r="T26" s="1541" t="n">
        <v>792.0</v>
      </c>
      <c r="U26" s="1549" t="n">
        <v>2.2</v>
      </c>
      <c r="V26" s="1557" t="n">
        <v>5562.0</v>
      </c>
      <c r="W26" s="1565" t="n">
        <v>15.7</v>
      </c>
      <c r="X26" s="1573" t="n">
        <v>1188.0</v>
      </c>
      <c r="Y26" s="1581" t="n">
        <v>3.4</v>
      </c>
      <c r="Z26" s="1589" t="n">
        <v>1354.0</v>
      </c>
      <c r="AA26" s="1597" t="n">
        <v>3.8</v>
      </c>
      <c r="AB26" s="1605" t="n">
        <v>2250.0</v>
      </c>
      <c r="AC26" s="1613" t="n">
        <v>6.3</v>
      </c>
      <c r="AD26" s="1621" t="n">
        <v>3875.0</v>
      </c>
      <c r="AE26" s="1629" t="n">
        <v>10.9</v>
      </c>
      <c r="AF26" s="1637" t="n">
        <v>2062.0</v>
      </c>
      <c r="AG26" s="1645" t="n">
        <v>5.8</v>
      </c>
      <c r="AH26" s="1653" t="n">
        <v>604.0</v>
      </c>
      <c r="AI26" s="1661" t="n">
        <v>1.7</v>
      </c>
      <c r="AJ26" s="1669" t="n">
        <v>1125.0</v>
      </c>
      <c r="AK26" s="1677" t="n">
        <v>3.2</v>
      </c>
    </row>
    <row r="27" customFormat="false" ht="13.8" hidden="false" customHeight="false" outlineLevel="0" collapsed="false">
      <c r="A27" s="1390" t="s">
        <v>95</v>
      </c>
      <c r="B27" s="1398" t="n">
        <v>21250.0</v>
      </c>
      <c r="C27" s="1406" t="n">
        <v>7.0</v>
      </c>
      <c r="D27" s="1414" t="n">
        <v>3208.0</v>
      </c>
      <c r="E27" s="1422" t="n">
        <v>1.1</v>
      </c>
      <c r="F27" s="1430" t="n">
        <v>10083.0</v>
      </c>
      <c r="G27" s="1438" t="n">
        <v>3.3</v>
      </c>
      <c r="H27" s="1446" t="n">
        <v>31104.0</v>
      </c>
      <c r="I27" s="1454" t="n">
        <v>10.3</v>
      </c>
      <c r="J27" s="1462" t="n">
        <v>20979.0</v>
      </c>
      <c r="K27" s="1470" t="n">
        <v>6.9</v>
      </c>
      <c r="L27" s="1478" t="n">
        <v>14083.0</v>
      </c>
      <c r="M27" s="1486" t="n">
        <v>4.7</v>
      </c>
      <c r="N27" s="1494" t="n">
        <v>2375.0</v>
      </c>
      <c r="O27" s="1502" t="n">
        <v>0.8</v>
      </c>
      <c r="P27" s="1510" t="n">
        <v>48000.0</v>
      </c>
      <c r="Q27" s="1518" t="n">
        <v>15.9</v>
      </c>
      <c r="R27" s="1526" t="n">
        <v>13104.0</v>
      </c>
      <c r="S27" s="1534" t="n">
        <v>4.3</v>
      </c>
      <c r="T27" s="1542" t="n">
        <v>22146.0</v>
      </c>
      <c r="U27" s="1550" t="n">
        <v>7.3</v>
      </c>
      <c r="V27" s="1558" t="n">
        <v>8938.0</v>
      </c>
      <c r="W27" s="1566" t="n">
        <v>3.0</v>
      </c>
      <c r="X27" s="1574" t="n">
        <v>22792.0</v>
      </c>
      <c r="Y27" s="1582" t="n">
        <v>7.5</v>
      </c>
      <c r="Z27" s="1590" t="n">
        <v>10667.0</v>
      </c>
      <c r="AA27" s="1598" t="n">
        <v>3.5</v>
      </c>
      <c r="AB27" s="1606" t="n">
        <v>14979.0</v>
      </c>
      <c r="AC27" s="1614" t="n">
        <v>5.0</v>
      </c>
      <c r="AD27" s="1622" t="n">
        <v>35229.0</v>
      </c>
      <c r="AE27" s="1630" t="n">
        <v>11.7</v>
      </c>
      <c r="AF27" s="1638" t="n">
        <v>11208.0</v>
      </c>
      <c r="AG27" s="1646" t="n">
        <v>3.7</v>
      </c>
      <c r="AH27" s="1654" t="n">
        <v>3146.0</v>
      </c>
      <c r="AI27" s="1662" t="n">
        <v>1.0</v>
      </c>
      <c r="AJ27" s="1670" t="n">
        <v>8917.0</v>
      </c>
      <c r="AK27" s="1678" t="n">
        <v>3.0</v>
      </c>
    </row>
    <row r="28" customFormat="false" ht="13.8" hidden="false" customHeight="false" outlineLevel="0" collapsed="false">
      <c r="A28" s="1391" t="s">
        <v>96</v>
      </c>
      <c r="B28" s="1399" t="n">
        <v>34521.0</v>
      </c>
      <c r="C28" s="1407" t="n">
        <v>7.4</v>
      </c>
      <c r="D28" s="1415" t="n">
        <v>4104.0</v>
      </c>
      <c r="E28" s="1423" t="n">
        <v>0.9</v>
      </c>
      <c r="F28" s="1431" t="n">
        <v>15688.0</v>
      </c>
      <c r="G28" s="1439" t="n">
        <v>3.3</v>
      </c>
      <c r="H28" s="1447" t="n">
        <v>38833.0</v>
      </c>
      <c r="I28" s="1455" t="n">
        <v>8.3</v>
      </c>
      <c r="J28" s="1463" t="n">
        <v>35396.0</v>
      </c>
      <c r="K28" s="1471" t="n">
        <v>7.5</v>
      </c>
      <c r="L28" s="1479" t="n">
        <v>22062.0</v>
      </c>
      <c r="M28" s="1487" t="n">
        <v>4.7</v>
      </c>
      <c r="N28" s="1495" t="n">
        <v>4188.0</v>
      </c>
      <c r="O28" s="1503" t="n">
        <v>0.9</v>
      </c>
      <c r="P28" s="1511" t="n">
        <v>80729.0</v>
      </c>
      <c r="Q28" s="1519" t="n">
        <v>17.2</v>
      </c>
      <c r="R28" s="1527" t="n">
        <v>23521.0</v>
      </c>
      <c r="S28" s="1535" t="n">
        <v>5.0</v>
      </c>
      <c r="T28" s="1543" t="n">
        <v>19396.0</v>
      </c>
      <c r="U28" s="1551" t="n">
        <v>4.1</v>
      </c>
      <c r="V28" s="1559" t="n">
        <v>3292.0</v>
      </c>
      <c r="W28" s="1567" t="n">
        <v>0.7</v>
      </c>
      <c r="X28" s="1575" t="n">
        <v>41417.0</v>
      </c>
      <c r="Y28" s="1583" t="n">
        <v>8.8</v>
      </c>
      <c r="Z28" s="1591" t="n">
        <v>44979.0</v>
      </c>
      <c r="AA28" s="1599" t="n">
        <v>9.6</v>
      </c>
      <c r="AB28" s="1607" t="n">
        <v>18438.0</v>
      </c>
      <c r="AC28" s="1615" t="n">
        <v>3.9</v>
      </c>
      <c r="AD28" s="1623" t="n">
        <v>51958.0</v>
      </c>
      <c r="AE28" s="1631" t="n">
        <v>11.1</v>
      </c>
      <c r="AF28" s="1639" t="n">
        <v>19292.0</v>
      </c>
      <c r="AG28" s="1647" t="n">
        <v>4.1</v>
      </c>
      <c r="AH28" s="1655" t="n">
        <v>1479.0</v>
      </c>
      <c r="AI28" s="1663" t="n">
        <v>0.3</v>
      </c>
      <c r="AJ28" s="1671" t="n">
        <v>9958.0</v>
      </c>
      <c r="AK28" s="1679" t="n">
        <v>2.1</v>
      </c>
    </row>
    <row r="29" customFormat="false" ht="19.7" hidden="false" customHeight="false" outlineLevel="0" collapsed="false">
      <c r="A29" s="88"/>
    </row>
    <row r="30" customFormat="false" ht="19.7" hidden="false" customHeight="false" outlineLevel="0" collapsed="false">
      <c r="A30" s="93"/>
    </row>
    <row r="31" customFormat="false" ht="13.5" hidden="false" customHeight="true" outlineLevel="0" collapsed="false">
      <c r="A31" s="147" t="s">
        <v>29</v>
      </c>
      <c r="B31" s="135" t="s">
        <v>45</v>
      </c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 t="s">
        <v>66</v>
      </c>
      <c r="U31" s="135"/>
    </row>
    <row r="32" customFormat="false" ht="13.5" hidden="false" customHeight="true" outlineLevel="0" collapsed="false">
      <c r="A32" s="147"/>
      <c r="B32" s="110" t="s">
        <v>0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 t="str">
        <f aca="true">"Share of employment in Goods and Service sectors ("&amp;  YEAR(TODAY())-1 &amp; ")"</f>
        <v>Share of employment in Goods and Service sectors (2024)</v>
      </c>
      <c r="U32" s="110"/>
    </row>
    <row r="33" customFormat="false" ht="13.5" hidden="false" customHeight="true" outlineLevel="0" collapsed="false">
      <c r="A33" s="147"/>
      <c r="B33" s="136" t="s">
        <v>67</v>
      </c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10"/>
      <c r="U33" s="110"/>
    </row>
    <row r="34" customFormat="false" ht="90.75" hidden="false" customHeight="true" outlineLevel="0" collapsed="false">
      <c r="A34" s="147"/>
      <c r="B34" s="138" t="s">
        <v>47</v>
      </c>
      <c r="C34" s="138" t="s">
        <v>48</v>
      </c>
      <c r="D34" s="148" t="s">
        <v>49</v>
      </c>
      <c r="E34" s="138" t="s">
        <v>50</v>
      </c>
      <c r="F34" s="138" t="s">
        <v>51</v>
      </c>
      <c r="G34" s="138" t="s">
        <v>52</v>
      </c>
      <c r="H34" s="138" t="s">
        <v>53</v>
      </c>
      <c r="I34" s="138" t="s">
        <v>54</v>
      </c>
      <c r="J34" s="138" t="s">
        <v>55</v>
      </c>
      <c r="K34" s="138" t="s">
        <v>56</v>
      </c>
      <c r="L34" s="138" t="s">
        <v>57</v>
      </c>
      <c r="M34" s="138" t="s">
        <v>58</v>
      </c>
      <c r="N34" s="138" t="s">
        <v>59</v>
      </c>
      <c r="O34" s="138" t="s">
        <v>60</v>
      </c>
      <c r="P34" s="138" t="s">
        <v>61</v>
      </c>
      <c r="Q34" s="138" t="s">
        <v>62</v>
      </c>
      <c r="R34" s="138" t="s">
        <v>63</v>
      </c>
      <c r="S34" s="138" t="s">
        <v>64</v>
      </c>
      <c r="T34" s="110" t="s">
        <v>68</v>
      </c>
      <c r="U34" s="111" t="s">
        <v>69</v>
      </c>
    </row>
    <row r="35" customFormat="false" ht="17.35" hidden="false" customHeight="false" outlineLevel="0" collapsed="false">
      <c r="A35" s="1680" t="s">
        <v>89</v>
      </c>
      <c r="B35" s="150"/>
      <c r="C35" s="151"/>
      <c r="D35" s="151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814" t="n">
        <v>17.6</v>
      </c>
      <c r="U35" s="1822" t="n">
        <v>82.4</v>
      </c>
    </row>
    <row r="36" customFormat="false" ht="13.8" hidden="false" customHeight="false" outlineLevel="0" collapsed="false">
      <c r="A36" s="1681" t="s">
        <v>90</v>
      </c>
      <c r="B36" s="1688" t="n">
        <v>2.6</v>
      </c>
      <c r="C36" s="1695" t="n">
        <v>3.0</v>
      </c>
      <c r="D36" s="1702" t="n">
        <v>1.7</v>
      </c>
      <c r="E36" s="1709" t="n">
        <v>2.7</v>
      </c>
      <c r="F36" s="1716" t="n">
        <v>3.4</v>
      </c>
      <c r="G36" s="1723" t="n">
        <v>1.8</v>
      </c>
      <c r="H36" s="1730" t="n">
        <v>13.5</v>
      </c>
      <c r="I36" s="1737" t="n">
        <v>3.6</v>
      </c>
      <c r="J36" s="1744" t="n">
        <v>1.4</v>
      </c>
      <c r="K36" s="1751" t="n">
        <v>4.8</v>
      </c>
      <c r="L36" s="1758" t="n">
        <v>5.4</v>
      </c>
      <c r="M36" s="1765" t="n">
        <v>1.1</v>
      </c>
      <c r="N36" s="1772" t="n">
        <v>2.9</v>
      </c>
      <c r="O36" s="1779" t="n">
        <v>3.0</v>
      </c>
      <c r="P36" s="1786" t="n">
        <v>3.2</v>
      </c>
      <c r="Q36" s="1793" t="n">
        <v>2.6</v>
      </c>
      <c r="R36" s="1800" t="n">
        <v>3.0</v>
      </c>
      <c r="S36" s="1807" t="n">
        <v>3.1</v>
      </c>
      <c r="T36" s="1815" t="n">
        <v>24.4</v>
      </c>
      <c r="U36" s="1823" t="n">
        <v>75.6</v>
      </c>
    </row>
    <row r="37" customFormat="false" ht="13.8" hidden="false" customHeight="false" outlineLevel="0" collapsed="false">
      <c r="A37" s="1682" t="s">
        <v>91</v>
      </c>
      <c r="B37" s="1689" t="n">
        <v>3.1</v>
      </c>
      <c r="C37" s="1696" t="n">
        <v>3.0</v>
      </c>
      <c r="D37" s="1703" t="n">
        <v>2.9</v>
      </c>
      <c r="E37" s="1710" t="n">
        <v>3.3</v>
      </c>
      <c r="F37" s="1717" t="n">
        <v>2.6</v>
      </c>
      <c r="G37" s="1724" t="n">
        <v>1.8</v>
      </c>
      <c r="H37" s="1731" t="n">
        <v>11.3</v>
      </c>
      <c r="I37" s="1738" t="n">
        <v>3.2</v>
      </c>
      <c r="J37" s="1745" t="n">
        <v>1.9</v>
      </c>
      <c r="K37" s="1752" t="n">
        <v>3.3</v>
      </c>
      <c r="L37" s="1759" t="n">
        <v>19.3</v>
      </c>
      <c r="M37" s="1766" t="n">
        <v>1.4</v>
      </c>
      <c r="N37" s="1773" t="n">
        <v>2.3</v>
      </c>
      <c r="O37" s="1780" t="n">
        <v>3.1</v>
      </c>
      <c r="P37" s="1787" t="n">
        <v>3.9</v>
      </c>
      <c r="Q37" s="1794" t="n">
        <v>1.5</v>
      </c>
      <c r="R37" s="1801" t="n">
        <v>5.2</v>
      </c>
      <c r="S37" s="1808" t="n">
        <v>1.8</v>
      </c>
      <c r="T37" s="1816" t="n">
        <v>28.2</v>
      </c>
      <c r="U37" s="1824" t="n">
        <v>71.8</v>
      </c>
    </row>
    <row r="38" customFormat="false" ht="13.8" hidden="false" customHeight="false" outlineLevel="0" collapsed="false">
      <c r="A38" s="1683" t="s">
        <v>92</v>
      </c>
      <c r="B38" s="1690" t="n">
        <v>62.4</v>
      </c>
      <c r="C38" s="1697" t="n">
        <v>49.8</v>
      </c>
      <c r="D38" s="1704" t="n">
        <v>65.9</v>
      </c>
      <c r="E38" s="1711" t="n">
        <v>61.9</v>
      </c>
      <c r="F38" s="1718" t="n">
        <v>65.8</v>
      </c>
      <c r="G38" s="1725" t="n">
        <v>75.2</v>
      </c>
      <c r="H38" s="1732" t="n">
        <v>16.5</v>
      </c>
      <c r="I38" s="1739" t="n">
        <v>59.3</v>
      </c>
      <c r="J38" s="1746" t="n">
        <v>70.5</v>
      </c>
      <c r="K38" s="1753" t="n">
        <v>66.6</v>
      </c>
      <c r="L38" s="1760" t="n">
        <v>21.0</v>
      </c>
      <c r="M38" s="1767" t="n">
        <v>74.9</v>
      </c>
      <c r="N38" s="1774" t="n">
        <v>55.8</v>
      </c>
      <c r="O38" s="1781" t="n">
        <v>62.2</v>
      </c>
      <c r="P38" s="1788" t="n">
        <v>63.5</v>
      </c>
      <c r="Q38" s="1795" t="n">
        <v>71.4</v>
      </c>
      <c r="R38" s="1802" t="n">
        <v>59.8</v>
      </c>
      <c r="S38" s="1809" t="n">
        <v>74.9</v>
      </c>
      <c r="T38" s="1817" t="n">
        <v>16.0</v>
      </c>
      <c r="U38" s="1825" t="n">
        <v>84.0</v>
      </c>
    </row>
    <row r="39" customFormat="false" ht="13.8" hidden="false" customHeight="false" outlineLevel="0" collapsed="false">
      <c r="A39" s="1684" t="s">
        <v>93</v>
      </c>
      <c r="B39" s="1691" t="n">
        <v>0.9</v>
      </c>
      <c r="C39" s="1698" t="n">
        <v>3.6</v>
      </c>
      <c r="D39" s="1705" t="n">
        <v>1.3</v>
      </c>
      <c r="E39" s="1712" t="n">
        <v>2.0</v>
      </c>
      <c r="F39" s="1719" t="n">
        <v>1.6</v>
      </c>
      <c r="G39" s="1726" t="n">
        <v>0.6</v>
      </c>
      <c r="H39" s="1733" t="n">
        <v>9.0</v>
      </c>
      <c r="I39" s="1740" t="n">
        <v>1.5</v>
      </c>
      <c r="J39" s="1747" t="n">
        <v>0.8</v>
      </c>
      <c r="K39" s="1754" t="n">
        <v>1.5</v>
      </c>
      <c r="L39" s="1761" t="n">
        <v>6.0</v>
      </c>
      <c r="M39" s="1768" t="n">
        <v>0.8</v>
      </c>
      <c r="N39" s="1775" t="n">
        <v>1.9</v>
      </c>
      <c r="O39" s="1782" t="n">
        <v>1.8</v>
      </c>
      <c r="P39" s="1789" t="n">
        <v>1.5</v>
      </c>
      <c r="Q39" s="1796" t="n">
        <v>3.5</v>
      </c>
      <c r="R39" s="1803" t="n">
        <v>2.7</v>
      </c>
      <c r="S39" s="1810" t="n">
        <v>0.8</v>
      </c>
      <c r="T39" s="1818" t="n">
        <v>26.9</v>
      </c>
      <c r="U39" s="1826" t="n">
        <v>73.1</v>
      </c>
    </row>
    <row r="40" customFormat="false" ht="13.8" hidden="false" customHeight="false" outlineLevel="0" collapsed="false">
      <c r="A40" s="1685" t="s">
        <v>94</v>
      </c>
      <c r="B40" s="1692" t="n">
        <v>1.0</v>
      </c>
      <c r="C40" s="1699" t="n">
        <v>0.9</v>
      </c>
      <c r="D40" s="1706" t="n">
        <v>1.0</v>
      </c>
      <c r="E40" s="1713" t="n">
        <v>1.7</v>
      </c>
      <c r="F40" s="1720" t="n">
        <v>0.9</v>
      </c>
      <c r="G40" s="1727" t="n">
        <v>1.0</v>
      </c>
      <c r="H40" s="1734" t="n">
        <v>5.2</v>
      </c>
      <c r="I40" s="1741" t="n">
        <v>1.0</v>
      </c>
      <c r="J40" s="1748" t="n">
        <v>0.5</v>
      </c>
      <c r="K40" s="1755" t="n">
        <v>0.4</v>
      </c>
      <c r="L40" s="1762" t="n">
        <v>15.1</v>
      </c>
      <c r="M40" s="1769" t="n">
        <v>0.4</v>
      </c>
      <c r="N40" s="1776" t="n">
        <v>0.9</v>
      </c>
      <c r="O40" s="1783" t="n">
        <v>1.9</v>
      </c>
      <c r="P40" s="1790" t="n">
        <v>1.2</v>
      </c>
      <c r="Q40" s="1797" t="n">
        <v>1.3</v>
      </c>
      <c r="R40" s="1804" t="n">
        <v>3.4</v>
      </c>
      <c r="S40" s="1811" t="n">
        <v>1.1</v>
      </c>
      <c r="T40" s="1819" t="n">
        <v>34.1</v>
      </c>
      <c r="U40" s="1827" t="n">
        <v>65.9</v>
      </c>
    </row>
    <row r="41" customFormat="false" ht="13.8" hidden="false" customHeight="false" outlineLevel="0" collapsed="false">
      <c r="A41" s="1686" t="s">
        <v>95</v>
      </c>
      <c r="B41" s="1693" t="n">
        <v>11.4</v>
      </c>
      <c r="C41" s="1700" t="n">
        <v>17.4</v>
      </c>
      <c r="D41" s="1707" t="n">
        <v>10.6</v>
      </c>
      <c r="E41" s="1714" t="n">
        <v>12.6</v>
      </c>
      <c r="F41" s="1721" t="n">
        <v>9.5</v>
      </c>
      <c r="G41" s="1728" t="n">
        <v>7.7</v>
      </c>
      <c r="H41" s="1735" t="n">
        <v>16.1</v>
      </c>
      <c r="I41" s="1742" t="n">
        <v>11.7</v>
      </c>
      <c r="J41" s="1749" t="n">
        <v>8.9</v>
      </c>
      <c r="K41" s="1756" t="n">
        <v>12.4</v>
      </c>
      <c r="L41" s="1763" t="n">
        <v>24.3</v>
      </c>
      <c r="M41" s="1770" t="n">
        <v>7.6</v>
      </c>
      <c r="N41" s="1777" t="n">
        <v>6.9</v>
      </c>
      <c r="O41" s="1784" t="n">
        <v>12.6</v>
      </c>
      <c r="P41" s="1791" t="n">
        <v>10.8</v>
      </c>
      <c r="Q41" s="1798" t="n">
        <v>7.2</v>
      </c>
      <c r="R41" s="1805" t="n">
        <v>17.6</v>
      </c>
      <c r="S41" s="1812" t="n">
        <v>8.7</v>
      </c>
      <c r="T41" s="1820" t="n">
        <v>23.5</v>
      </c>
      <c r="U41" s="1828" t="n">
        <v>76.5</v>
      </c>
    </row>
    <row r="42" customFormat="false" ht="13.8" hidden="false" customHeight="false" outlineLevel="0" collapsed="false">
      <c r="A42" s="1687" t="s">
        <v>96</v>
      </c>
      <c r="B42" s="1694" t="n">
        <v>18.5</v>
      </c>
      <c r="C42" s="1701" t="n">
        <v>22.2</v>
      </c>
      <c r="D42" s="1708" t="n">
        <v>16.6</v>
      </c>
      <c r="E42" s="1715" t="n">
        <v>15.7</v>
      </c>
      <c r="F42" s="1722" t="n">
        <v>16.1</v>
      </c>
      <c r="G42" s="1729" t="n">
        <v>12.0</v>
      </c>
      <c r="H42" s="1736" t="n">
        <v>28.3</v>
      </c>
      <c r="I42" s="1743" t="n">
        <v>19.7</v>
      </c>
      <c r="J42" s="1750" t="n">
        <v>15.9</v>
      </c>
      <c r="K42" s="1757" t="n">
        <v>10.9</v>
      </c>
      <c r="L42" s="1764" t="n">
        <v>8.9</v>
      </c>
      <c r="M42" s="1771" t="n">
        <v>13.8</v>
      </c>
      <c r="N42" s="1778" t="n">
        <v>29.3</v>
      </c>
      <c r="O42" s="1785" t="n">
        <v>15.5</v>
      </c>
      <c r="P42" s="1792" t="n">
        <v>16.0</v>
      </c>
      <c r="Q42" s="1799" t="n">
        <v>12.3</v>
      </c>
      <c r="R42" s="1806" t="n">
        <v>8.3</v>
      </c>
      <c r="S42" s="1813" t="n">
        <v>9.7</v>
      </c>
      <c r="T42" s="1821" t="n">
        <v>15.2</v>
      </c>
      <c r="U42" s="1829" t="n">
        <v>84.8</v>
      </c>
    </row>
    <row r="43" customFormat="false" ht="21" hidden="false" customHeight="false" outlineLevel="0" collapsed="false">
      <c r="A43" s="88"/>
    </row>
    <row r="44" customFormat="false" ht="21" hidden="false" customHeight="false" outlineLevel="0" collapsed="false">
      <c r="A44" s="9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6">
    <mergeCell ref="A1:A5"/>
    <mergeCell ref="B1:V1"/>
    <mergeCell ref="B2:F2"/>
    <mergeCell ref="G2:V2"/>
    <mergeCell ref="B3:F4"/>
    <mergeCell ref="G3:H4"/>
    <mergeCell ref="I3:V3"/>
    <mergeCell ref="I4:V4"/>
    <mergeCell ref="A16:A19"/>
    <mergeCell ref="B16:AK16"/>
    <mergeCell ref="B17:AK17"/>
    <mergeCell ref="B18:AK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31:A34"/>
    <mergeCell ref="B31:S31"/>
    <mergeCell ref="T31:U31"/>
    <mergeCell ref="B32:S32"/>
    <mergeCell ref="T32:U33"/>
    <mergeCell ref="B33:S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  <Company>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2003-08-27T16:40:13Z</dcterms:created>
  <dc:creator>a</dc:creator>
  <dc:language>en-CA</dc:language>
  <dcterms:modified xsi:type="dcterms:W3CDTF">2025-01-08T14:42:22Z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